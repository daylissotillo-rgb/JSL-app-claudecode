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04a1e6ce4108fd/Documentos/CLAUDE CODE DESPACHO/"/>
    </mc:Choice>
  </mc:AlternateContent>
  <xr:revisionPtr revIDLastSave="0" documentId="14_{9C76EBBE-A3FD-47E7-B442-0B7A6A01484C}" xr6:coauthVersionLast="47" xr6:coauthVersionMax="47" xr10:uidLastSave="{00000000-0000-0000-0000-000000000000}"/>
  <bookViews>
    <workbookView xWindow="-108" yWindow="-108" windowWidth="23256" windowHeight="13896" xr2:uid="{1F0266EB-9B6A-4235-B7BD-4818450586F7}"/>
  </bookViews>
  <sheets>
    <sheet name="HISTORICO PARCIAL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3" i="2" l="1"/>
  <c r="G213" i="2"/>
  <c r="G214" i="2" s="1"/>
  <c r="G223" i="2" s="1"/>
  <c r="G23" i="2"/>
  <c r="G4" i="2"/>
  <c r="G5" i="2" s="1"/>
  <c r="G6" i="2" s="1"/>
  <c r="G269" i="2"/>
  <c r="G270" i="2" s="1"/>
  <c r="G116" i="2"/>
  <c r="G344" i="2"/>
  <c r="G345" i="2" s="1"/>
  <c r="G342" i="2"/>
  <c r="G338" i="2"/>
  <c r="G339" i="2" s="1"/>
  <c r="G335" i="2"/>
  <c r="G332" i="2"/>
  <c r="G329" i="2"/>
  <c r="G330" i="2" s="1"/>
  <c r="G319" i="2"/>
  <c r="G320" i="2" s="1"/>
  <c r="G317" i="2"/>
  <c r="G312" i="2"/>
  <c r="G313" i="2" s="1"/>
  <c r="G314" i="2" s="1"/>
  <c r="G309" i="2"/>
  <c r="G307" i="2"/>
  <c r="G305" i="2"/>
  <c r="G294" i="2"/>
  <c r="G295" i="2" s="1"/>
  <c r="G290" i="2"/>
  <c r="G291" i="2" s="1"/>
  <c r="G287" i="2"/>
  <c r="G288" i="2" s="1"/>
  <c r="G283" i="2"/>
  <c r="G284" i="2" s="1"/>
  <c r="G280" i="2"/>
  <c r="G277" i="2"/>
  <c r="G264" i="2"/>
  <c r="G265" i="2" s="1"/>
  <c r="G266" i="2" s="1"/>
  <c r="G267" i="2" s="1"/>
  <c r="G254" i="2"/>
  <c r="G258" i="2" s="1"/>
  <c r="G250" i="2"/>
  <c r="G251" i="2" s="1"/>
  <c r="G252" i="2" s="1"/>
  <c r="G242" i="2"/>
  <c r="G229" i="2"/>
  <c r="G230" i="2" s="1"/>
  <c r="G231" i="2" s="1"/>
  <c r="G232" i="2" s="1"/>
  <c r="G233" i="2" s="1"/>
  <c r="G234" i="2" s="1"/>
  <c r="G221" i="2"/>
  <c r="G217" i="2"/>
  <c r="G218" i="2" s="1"/>
  <c r="G219" i="2" s="1"/>
  <c r="G206" i="2"/>
  <c r="G203" i="2"/>
  <c r="G204" i="2" s="1"/>
  <c r="G208" i="2" s="1"/>
  <c r="D201" i="2"/>
  <c r="G201" i="2" s="1"/>
  <c r="G197" i="2"/>
  <c r="G198" i="2" s="1"/>
  <c r="G199" i="2" s="1"/>
  <c r="G188" i="2"/>
  <c r="G189" i="2" s="1"/>
  <c r="G181" i="2"/>
  <c r="G174" i="2"/>
  <c r="G165" i="2"/>
  <c r="G166" i="2" s="1"/>
  <c r="G167" i="2" s="1"/>
  <c r="G157" i="2"/>
  <c r="G158" i="2" s="1"/>
  <c r="G149" i="2"/>
  <c r="G150" i="2" s="1"/>
  <c r="G141" i="2"/>
  <c r="G142" i="2" s="1"/>
  <c r="G143" i="2" s="1"/>
  <c r="G139" i="2"/>
  <c r="G136" i="2"/>
  <c r="G137" i="2" s="1"/>
  <c r="G129" i="2"/>
  <c r="G127" i="2"/>
  <c r="G124" i="2"/>
  <c r="G125" i="2" s="1"/>
  <c r="G114" i="2"/>
  <c r="G104" i="2"/>
  <c r="G108" i="2" s="1"/>
  <c r="G102" i="2"/>
  <c r="G96" i="2"/>
  <c r="G92" i="2"/>
  <c r="G84" i="2"/>
  <c r="G86" i="2" s="1"/>
  <c r="G81" i="2"/>
  <c r="G82" i="2" s="1"/>
  <c r="G74" i="2"/>
  <c r="G70" i="2"/>
  <c r="G71" i="2" s="1"/>
  <c r="G72" i="2" s="1"/>
  <c r="G61" i="2"/>
  <c r="G53" i="2"/>
  <c r="G50" i="2"/>
  <c r="G51" i="2" s="1"/>
  <c r="D46" i="2"/>
  <c r="G46" i="2" s="1"/>
  <c r="G48" i="2" s="1"/>
  <c r="G38" i="2"/>
  <c r="G39" i="2" s="1"/>
  <c r="D35" i="2"/>
  <c r="G30" i="2"/>
  <c r="G31" i="2" s="1"/>
  <c r="G32" i="2" s="1"/>
  <c r="G33" i="2" s="1"/>
  <c r="G34" i="2" s="1"/>
  <c r="G35" i="2" s="1"/>
  <c r="G36" i="2" s="1"/>
  <c r="G28" i="2"/>
  <c r="G20" i="2"/>
  <c r="G16" i="2"/>
  <c r="G17" i="2" s="1"/>
  <c r="G18" i="2" s="1"/>
  <c r="G10" i="2"/>
  <c r="G11" i="2" s="1"/>
  <c r="G12" i="2" s="1"/>
  <c r="G13" i="2" s="1"/>
  <c r="G14" i="2" s="1"/>
  <c r="G131" i="2" l="1"/>
  <c r="G244" i="2"/>
  <c r="G235" i="2"/>
</calcChain>
</file>

<file path=xl/sharedStrings.xml><?xml version="1.0" encoding="utf-8"?>
<sst xmlns="http://schemas.openxmlformats.org/spreadsheetml/2006/main" count="402" uniqueCount="118">
  <si>
    <t xml:space="preserve">PAN PAL DÍA </t>
  </si>
  <si>
    <t xml:space="preserve">FECHA </t>
  </si>
  <si>
    <t xml:space="preserve">OC </t>
  </si>
  <si>
    <t>CANTIDAD OC</t>
  </si>
  <si>
    <t>CANTIDAD ENTREGADA</t>
  </si>
  <si>
    <t>DOCUMENTO</t>
  </si>
  <si>
    <t>FECHA ENTREGA</t>
  </si>
  <si>
    <t>SALDO</t>
  </si>
  <si>
    <t>ESTADO</t>
  </si>
  <si>
    <t>Cerrada</t>
  </si>
  <si>
    <t>P02804</t>
  </si>
  <si>
    <t>CERRADA</t>
  </si>
  <si>
    <t xml:space="preserve">TOTAL UNIDADES </t>
  </si>
  <si>
    <t xml:space="preserve">AIKAS BLANCO 420 g </t>
  </si>
  <si>
    <t>CERRADA C/EXCEDENTE</t>
  </si>
  <si>
    <t>P03226</t>
  </si>
  <si>
    <t>TOTAL UNIDADES PENDIENTES</t>
  </si>
  <si>
    <t xml:space="preserve">AIKAS INTEGRAL 420 g </t>
  </si>
  <si>
    <t>Nota de débito 401D</t>
  </si>
  <si>
    <t>CERRADA/ C EXCEDENTE</t>
  </si>
  <si>
    <t>P02797</t>
  </si>
  <si>
    <t>CERRADA C/ EXCEDENTE</t>
  </si>
  <si>
    <t>P03253</t>
  </si>
  <si>
    <t>TOTAL UNIDADES</t>
  </si>
  <si>
    <t>AIKAS MANTEQUILLA 420 G</t>
  </si>
  <si>
    <t>P02798</t>
  </si>
  <si>
    <t>P03224</t>
  </si>
  <si>
    <t>AIKAS ÁRABE 5 UNIDADES</t>
  </si>
  <si>
    <t>P02796</t>
  </si>
  <si>
    <t>CERRADO</t>
  </si>
  <si>
    <t>P03223</t>
  </si>
  <si>
    <t xml:space="preserve">AIKAS INTEGRAL + AVENA 420 g </t>
  </si>
  <si>
    <t>P02799</t>
  </si>
  <si>
    <t>CERRADA CON EXCEDENTE</t>
  </si>
  <si>
    <t>P03225</t>
  </si>
  <si>
    <t>CERRADA CCON EXCEDNTE 20%</t>
  </si>
  <si>
    <t>HAMBURGUESA 600 g</t>
  </si>
  <si>
    <t>P02802</t>
  </si>
  <si>
    <t xml:space="preserve">PERRO CALIENTE JUMBO </t>
  </si>
  <si>
    <t>P0283</t>
  </si>
  <si>
    <t>P03258</t>
  </si>
  <si>
    <t>ABIERTA SIN ABONO</t>
  </si>
  <si>
    <t>BRIOCHE 340 g</t>
  </si>
  <si>
    <t>P02850</t>
  </si>
  <si>
    <t>P03263</t>
  </si>
  <si>
    <t>BRIOCHE 680 g</t>
  </si>
  <si>
    <t>ABIERTA</t>
  </si>
  <si>
    <t>P02809</t>
  </si>
  <si>
    <t>P03261</t>
  </si>
  <si>
    <t>HAMBURGUESA BRIOCHE 300 g</t>
  </si>
  <si>
    <t xml:space="preserve">MÁS POR MENOS HAMBURGUESA </t>
  </si>
  <si>
    <t xml:space="preserve">MÁS POR MENOS PERRO CALIENTE </t>
  </si>
  <si>
    <t>MÁS POR MENOS MANTEQUILLA</t>
  </si>
  <si>
    <t>EXCEDENTE</t>
  </si>
  <si>
    <t>AIKOZ HAMBURGUESA</t>
  </si>
  <si>
    <t>AIKOZ PERRO CALIENTE</t>
  </si>
  <si>
    <t>AIKOZ MANTEQUILLA</t>
  </si>
  <si>
    <t>PAN ÁRABE MANTEQUILLA</t>
  </si>
  <si>
    <t>NE38</t>
  </si>
  <si>
    <t>NE44</t>
  </si>
  <si>
    <t>NE 49</t>
  </si>
  <si>
    <t>P02861</t>
  </si>
  <si>
    <t>EN PROCESO</t>
  </si>
  <si>
    <t>.</t>
  </si>
  <si>
    <t>P03237</t>
  </si>
  <si>
    <t>PAN ÁRABE INTEGRAL</t>
  </si>
  <si>
    <t>P02806</t>
  </si>
  <si>
    <t>P03233</t>
  </si>
  <si>
    <t>PAN ÁRABE BLANCO</t>
  </si>
  <si>
    <t>NE50/FACT 41567</t>
  </si>
  <si>
    <t>NE 54 / FACT 41629</t>
  </si>
  <si>
    <t>NE 55/ FACT 41650</t>
  </si>
  <si>
    <t>NE56/ FACT 41665</t>
  </si>
  <si>
    <t>FACT 41766</t>
  </si>
  <si>
    <t>FACT 41769</t>
  </si>
  <si>
    <t>P02805</t>
  </si>
  <si>
    <t>P03232</t>
  </si>
  <si>
    <t>TORTILLA QUINOA + CHÍA</t>
  </si>
  <si>
    <t>NE 56/ FACT 41664</t>
  </si>
  <si>
    <t>P02910</t>
  </si>
  <si>
    <t>P03256</t>
  </si>
  <si>
    <t xml:space="preserve">PAN BLANCO ENRIQUECIDO 500 g </t>
  </si>
  <si>
    <t>P02801</t>
  </si>
  <si>
    <t>P03244</t>
  </si>
  <si>
    <t>B. FUERZA DE VENTA TRANSPARENTE 60+15+15X120X0.014</t>
  </si>
  <si>
    <t>NE 595/41526</t>
  </si>
  <si>
    <t>NE 613</t>
  </si>
  <si>
    <t>NE 596/41525</t>
  </si>
  <si>
    <t>NE601/41525</t>
  </si>
  <si>
    <t>19 ENE</t>
  </si>
  <si>
    <t>NE 619</t>
  </si>
  <si>
    <t>NE621</t>
  </si>
  <si>
    <t>NE 627/ FACT 41582</t>
  </si>
  <si>
    <t>NC 942</t>
  </si>
  <si>
    <t>FACT</t>
  </si>
  <si>
    <t xml:space="preserve">NC </t>
  </si>
  <si>
    <t>NE 630</t>
  </si>
  <si>
    <t>NE 632/FACT41957</t>
  </si>
  <si>
    <t>B. FUERZA DE VENTA TRANSPARENTE 50+10+10X80X0.014</t>
  </si>
  <si>
    <t>NE619</t>
  </si>
  <si>
    <t>NE624</t>
  </si>
  <si>
    <t xml:space="preserve">FACT </t>
  </si>
  <si>
    <t>NE630</t>
  </si>
  <si>
    <t>NE 632/ FACT 41957</t>
  </si>
  <si>
    <t>NE/ FACT 41774</t>
  </si>
  <si>
    <t>B. FUERZA DE VENTA TRANSPARENTE 40+5+5X70X0.014</t>
  </si>
  <si>
    <t>NE595/41526</t>
  </si>
  <si>
    <t>NE602/41526</t>
  </si>
  <si>
    <t>NE 632/FACT 41957</t>
  </si>
  <si>
    <t>NE 632/FACT 41958</t>
  </si>
  <si>
    <t>PENDIENTE POR DESPACHAR</t>
  </si>
  <si>
    <t xml:space="preserve">CERTIFICADO DE CALIDAD. </t>
  </si>
  <si>
    <t>P03800</t>
  </si>
  <si>
    <t>P03802</t>
  </si>
  <si>
    <t>40+5+5</t>
  </si>
  <si>
    <t>50+10+10</t>
  </si>
  <si>
    <t>NE32</t>
  </si>
  <si>
    <t>18678/P03314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</si>
</sst>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16" fontId="0" fillId="2" borderId="6" xfId="0" applyNumberFormat="1" applyFill="1" applyBorder="1"/>
    <xf numFmtId="0" fontId="0" fillId="2" borderId="0" xfId="0" applyFill="1"/>
    <xf numFmtId="16" fontId="0" fillId="2" borderId="0" xfId="0" applyNumberFormat="1" applyFill="1"/>
    <xf numFmtId="0" fontId="4" fillId="2" borderId="0" xfId="0" applyFont="1" applyFill="1"/>
    <xf numFmtId="0" fontId="0" fillId="2" borderId="7" xfId="0" applyFill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/>
    <xf numFmtId="16" fontId="0" fillId="0" borderId="6" xfId="0" applyNumberFormat="1" applyBorder="1"/>
    <xf numFmtId="16" fontId="0" fillId="0" borderId="0" xfId="0" applyNumberFormat="1"/>
    <xf numFmtId="0" fontId="5" fillId="0" borderId="0" xfId="0" applyFont="1"/>
    <xf numFmtId="0" fontId="0" fillId="0" borderId="7" xfId="0" applyBorder="1" applyAlignment="1">
      <alignment horizontal="right"/>
    </xf>
    <xf numFmtId="0" fontId="3" fillId="0" borderId="0" xfId="0" applyFont="1" applyAlignment="1">
      <alignment horizontal="center"/>
    </xf>
    <xf numFmtId="0" fontId="0" fillId="3" borderId="0" xfId="0" applyFill="1"/>
    <xf numFmtId="0" fontId="4" fillId="0" borderId="0" xfId="0" applyFont="1"/>
    <xf numFmtId="0" fontId="0" fillId="0" borderId="0" xfId="0" applyAlignment="1">
      <alignment horizontal="right"/>
    </xf>
    <xf numFmtId="0" fontId="0" fillId="0" borderId="7" xfId="0" applyBorder="1" applyAlignment="1">
      <alignment horizontal="center" wrapText="1"/>
    </xf>
    <xf numFmtId="1" fontId="0" fillId="0" borderId="0" xfId="0" applyNumberFormat="1"/>
    <xf numFmtId="0" fontId="0" fillId="0" borderId="7" xfId="0" applyBorder="1" applyAlignment="1">
      <alignment horizontal="right" wrapText="1"/>
    </xf>
    <xf numFmtId="0" fontId="0" fillId="0" borderId="6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4" fillId="0" borderId="9" xfId="0" applyFont="1" applyBorder="1"/>
    <xf numFmtId="0" fontId="0" fillId="0" borderId="10" xfId="0" applyBorder="1" applyAlignment="1">
      <alignment horizontal="right"/>
    </xf>
    <xf numFmtId="0" fontId="3" fillId="0" borderId="13" xfId="0" applyFont="1" applyBorder="1" applyAlignment="1">
      <alignment horizontal="center" wrapText="1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2" borderId="6" xfId="0" applyFill="1" applyBorder="1" applyAlignment="1">
      <alignment horizontal="right"/>
    </xf>
    <xf numFmtId="0" fontId="0" fillId="2" borderId="0" xfId="0" applyFill="1" applyAlignment="1">
      <alignment horizontal="right"/>
    </xf>
    <xf numFmtId="16" fontId="0" fillId="0" borderId="6" xfId="0" applyNumberFormat="1" applyBorder="1" applyAlignment="1">
      <alignment horizontal="right"/>
    </xf>
    <xf numFmtId="0" fontId="0" fillId="0" borderId="7" xfId="0" applyBorder="1" applyAlignment="1">
      <alignment wrapText="1"/>
    </xf>
    <xf numFmtId="0" fontId="0" fillId="4" borderId="7" xfId="0" applyFill="1" applyBorder="1" applyAlignment="1">
      <alignment horizontal="right"/>
    </xf>
    <xf numFmtId="16" fontId="0" fillId="2" borderId="6" xfId="0" applyNumberFormat="1" applyFill="1" applyBorder="1" applyAlignment="1">
      <alignment horizontal="right"/>
    </xf>
    <xf numFmtId="0" fontId="0" fillId="2" borderId="7" xfId="0" applyFill="1" applyBorder="1" applyAlignment="1">
      <alignment wrapText="1"/>
    </xf>
    <xf numFmtId="16" fontId="0" fillId="0" borderId="6" xfId="0" applyNumberFormat="1" applyBorder="1" applyAlignment="1">
      <alignment horizontal="center"/>
    </xf>
    <xf numFmtId="0" fontId="0" fillId="2" borderId="6" xfId="0" applyFill="1" applyBorder="1"/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 wrapText="1"/>
    </xf>
    <xf numFmtId="0" fontId="0" fillId="0" borderId="6" xfId="0" applyBorder="1"/>
    <xf numFmtId="0" fontId="1" fillId="0" borderId="13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0" fillId="0" borderId="0" xfId="0" applyAlignment="1">
      <alignment horizontal="right"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17" fontId="0" fillId="0" borderId="6" xfId="0" applyNumberFormat="1" applyBorder="1"/>
    <xf numFmtId="0" fontId="1" fillId="0" borderId="9" xfId="0" applyFont="1" applyBorder="1"/>
    <xf numFmtId="0" fontId="0" fillId="0" borderId="9" xfId="0" applyBorder="1" applyAlignment="1">
      <alignment wrapText="1"/>
    </xf>
    <xf numFmtId="0" fontId="1" fillId="0" borderId="10" xfId="0" applyFont="1" applyBorder="1" applyAlignment="1">
      <alignment wrapText="1"/>
    </xf>
    <xf numFmtId="0" fontId="0" fillId="5" borderId="6" xfId="0" applyFill="1" applyBorder="1"/>
    <xf numFmtId="0" fontId="0" fillId="5" borderId="0" xfId="0" applyFill="1"/>
    <xf numFmtId="0" fontId="0" fillId="5" borderId="7" xfId="0" applyFill="1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3" fillId="0" borderId="9" xfId="0" applyFont="1" applyBorder="1"/>
    <xf numFmtId="0" fontId="3" fillId="0" borderId="0" xfId="0" applyFont="1"/>
    <xf numFmtId="0" fontId="3" fillId="0" borderId="4" xfId="0" applyFont="1" applyBorder="1" applyAlignment="1">
      <alignment horizontal="center"/>
    </xf>
    <xf numFmtId="16" fontId="0" fillId="5" borderId="6" xfId="0" applyNumberFormat="1" applyFill="1" applyBorder="1"/>
    <xf numFmtId="16" fontId="0" fillId="5" borderId="0" xfId="0" applyNumberFormat="1" applyFill="1"/>
    <xf numFmtId="0" fontId="0" fillId="5" borderId="7" xfId="0" applyFill="1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0" fillId="5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7" fillId="0" borderId="9" xfId="0" applyFont="1" applyBorder="1"/>
    <xf numFmtId="0" fontId="0" fillId="2" borderId="6" xfId="0" applyFill="1" applyBorder="1" applyAlignment="1">
      <alignment horizontal="center"/>
    </xf>
    <xf numFmtId="16" fontId="0" fillId="5" borderId="0" xfId="0" applyNumberFormat="1" applyFill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0" fillId="5" borderId="14" xfId="0" applyFill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 applyAlignment="1">
      <alignment horizontal="right" wrapText="1"/>
    </xf>
    <xf numFmtId="0" fontId="3" fillId="0" borderId="15" xfId="0" applyFont="1" applyBorder="1" applyAlignment="1">
      <alignment horizontal="center" wrapText="1"/>
    </xf>
    <xf numFmtId="0" fontId="0" fillId="5" borderId="6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16" xfId="0" applyFill="1" applyBorder="1" applyAlignment="1">
      <alignment horizontal="right"/>
    </xf>
    <xf numFmtId="16" fontId="0" fillId="0" borderId="0" xfId="0" applyNumberFormat="1" applyAlignment="1">
      <alignment horizontal="right"/>
    </xf>
    <xf numFmtId="0" fontId="0" fillId="0" borderId="16" xfId="0" applyBorder="1" applyAlignment="1">
      <alignment horizontal="right"/>
    </xf>
    <xf numFmtId="16" fontId="0" fillId="5" borderId="0" xfId="0" applyNumberFormat="1" applyFill="1" applyAlignment="1">
      <alignment horizontal="right"/>
    </xf>
    <xf numFmtId="0" fontId="7" fillId="0" borderId="17" xfId="0" applyFont="1" applyBorder="1" applyAlignment="1">
      <alignment horizontal="right"/>
    </xf>
    <xf numFmtId="0" fontId="7" fillId="0" borderId="0" xfId="0" applyFont="1"/>
    <xf numFmtId="0" fontId="1" fillId="0" borderId="10" xfId="0" applyFont="1" applyBorder="1" applyAlignment="1">
      <alignment horizontal="right"/>
    </xf>
    <xf numFmtId="16" fontId="0" fillId="2" borderId="6" xfId="0" applyNumberFormat="1" applyFill="1" applyBorder="1" applyAlignment="1">
      <alignment horizontal="center"/>
    </xf>
    <xf numFmtId="0" fontId="0" fillId="2" borderId="7" xfId="0" applyFill="1" applyBorder="1" applyAlignment="1">
      <alignment horizontal="right" wrapText="1"/>
    </xf>
    <xf numFmtId="1" fontId="0" fillId="2" borderId="0" xfId="0" applyNumberFormat="1" applyFill="1"/>
    <xf numFmtId="0" fontId="0" fillId="0" borderId="0" xfId="0" applyAlignment="1">
      <alignment horizontal="left"/>
    </xf>
    <xf numFmtId="16" fontId="0" fillId="0" borderId="1" xfId="0" applyNumberFormat="1" applyBorder="1"/>
    <xf numFmtId="0" fontId="0" fillId="0" borderId="2" xfId="0" applyBorder="1"/>
    <xf numFmtId="14" fontId="0" fillId="0" borderId="6" xfId="0" applyNumberFormat="1" applyBorder="1"/>
    <xf numFmtId="14" fontId="0" fillId="2" borderId="6" xfId="0" applyNumberFormat="1" applyFill="1" applyBorder="1"/>
    <xf numFmtId="16" fontId="0" fillId="4" borderId="6" xfId="0" applyNumberFormat="1" applyFill="1" applyBorder="1"/>
    <xf numFmtId="0" fontId="0" fillId="4" borderId="0" xfId="0" applyFill="1"/>
    <xf numFmtId="16" fontId="0" fillId="4" borderId="0" xfId="0" applyNumberFormat="1" applyFill="1"/>
    <xf numFmtId="0" fontId="0" fillId="2" borderId="7" xfId="0" applyFill="1" applyBorder="1"/>
    <xf numFmtId="0" fontId="3" fillId="0" borderId="10" xfId="0" applyFont="1" applyBorder="1"/>
    <xf numFmtId="0" fontId="1" fillId="3" borderId="0" xfId="0" applyFont="1" applyFill="1"/>
    <xf numFmtId="0" fontId="8" fillId="0" borderId="14" xfId="0" applyFont="1" applyBorder="1" applyAlignment="1">
      <alignment horizontal="right" wrapText="1"/>
    </xf>
    <xf numFmtId="0" fontId="5" fillId="3" borderId="0" xfId="0" applyFont="1" applyFill="1"/>
    <xf numFmtId="0" fontId="3" fillId="0" borderId="6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/>
    </xf>
    <xf numFmtId="1" fontId="0" fillId="0" borderId="0" xfId="0" applyNumberFormat="1" applyAlignment="1">
      <alignment horizontal="right"/>
    </xf>
    <xf numFmtId="0" fontId="7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3" fillId="0" borderId="9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0A48-5AE1-4314-8AE1-760C8AA28F2B}">
  <dimension ref="A1:S608"/>
  <sheetViews>
    <sheetView tabSelected="1" zoomScale="70" zoomScaleNormal="70" workbookViewId="0">
      <pane ySplit="3" topLeftCell="A151" activePane="bottomLeft" state="frozen"/>
      <selection activeCell="G1" sqref="G1"/>
      <selection pane="bottomLeft" activeCell="G64" sqref="G64"/>
    </sheetView>
  </sheetViews>
  <sheetFormatPr baseColWidth="10" defaultRowHeight="14.4" x14ac:dyDescent="0.3"/>
  <cols>
    <col min="1" max="1" width="9.44140625" customWidth="1"/>
    <col min="2" max="2" width="9.88671875" customWidth="1"/>
    <col min="3" max="3" width="12.5546875" customWidth="1"/>
    <col min="4" max="4" width="14.5546875" customWidth="1"/>
    <col min="5" max="5" width="17.21875" customWidth="1"/>
    <col min="6" max="6" width="11.6640625" customWidth="1"/>
    <col min="7" max="7" width="8.77734375" customWidth="1"/>
    <col min="8" max="8" width="20.33203125" style="19" customWidth="1"/>
    <col min="9" max="10" width="14.6640625" style="19" customWidth="1"/>
    <col min="11" max="11" width="17" style="19" customWidth="1"/>
    <col min="12" max="12" width="16" bestFit="1" customWidth="1"/>
    <col min="13" max="16" width="16" customWidth="1"/>
    <col min="17" max="17" width="12.5546875" customWidth="1"/>
    <col min="18" max="18" width="10.109375" customWidth="1"/>
    <col min="19" max="19" width="6.77734375" customWidth="1"/>
    <col min="20" max="20" width="23.5546875" customWidth="1"/>
    <col min="21" max="21" width="12.109375" customWidth="1"/>
    <col min="22" max="22" width="10" customWidth="1"/>
    <col min="23" max="23" width="9.5546875" customWidth="1"/>
    <col min="24" max="24" width="13.5546875" customWidth="1"/>
    <col min="25" max="25" width="14.44140625" customWidth="1"/>
    <col min="26" max="26" width="10.33203125" customWidth="1"/>
    <col min="27" max="27" width="12.21875" customWidth="1"/>
    <col min="28" max="28" width="12" customWidth="1"/>
    <col min="29" max="29" width="10.77734375" customWidth="1"/>
    <col min="30" max="30" width="12.33203125" customWidth="1"/>
    <col min="31" max="31" width="8" customWidth="1"/>
    <col min="32" max="32" width="12.33203125" customWidth="1"/>
    <col min="33" max="33" width="12.88671875" customWidth="1"/>
    <col min="35" max="35" width="15.88671875" customWidth="1"/>
  </cols>
  <sheetData>
    <row r="1" spans="1:11" ht="18" thickBot="1" x14ac:dyDescent="0.35">
      <c r="A1" s="109" t="s">
        <v>0</v>
      </c>
      <c r="B1" s="110"/>
      <c r="C1" s="110"/>
      <c r="D1" s="110"/>
      <c r="E1" s="110"/>
      <c r="F1" s="110"/>
      <c r="G1" s="110"/>
      <c r="H1" s="111"/>
      <c r="I1"/>
      <c r="J1"/>
      <c r="K1"/>
    </row>
    <row r="2" spans="1:11" ht="47.4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/>
      <c r="J2"/>
      <c r="K2"/>
    </row>
    <row r="3" spans="1:11" ht="18" x14ac:dyDescent="0.35">
      <c r="A3" s="4"/>
      <c r="B3" s="5"/>
      <c r="C3" s="5"/>
      <c r="D3" s="5"/>
      <c r="E3" s="5"/>
      <c r="F3" s="6"/>
      <c r="G3" s="7"/>
      <c r="H3" s="8"/>
      <c r="I3"/>
      <c r="J3"/>
      <c r="K3"/>
    </row>
    <row r="4" spans="1:11" ht="18" x14ac:dyDescent="0.35">
      <c r="A4" s="12">
        <v>45879</v>
      </c>
      <c r="B4" s="17" t="s">
        <v>117</v>
      </c>
      <c r="C4">
        <v>200000</v>
      </c>
      <c r="D4">
        <v>56020</v>
      </c>
      <c r="E4">
        <v>41545</v>
      </c>
      <c r="F4" s="13">
        <v>46009</v>
      </c>
      <c r="G4" s="14">
        <f>C4-D4</f>
        <v>143980</v>
      </c>
      <c r="H4" s="15"/>
      <c r="I4"/>
      <c r="J4"/>
      <c r="K4"/>
    </row>
    <row r="5" spans="1:11" ht="18" x14ac:dyDescent="0.35">
      <c r="A5" s="12"/>
      <c r="B5" s="17"/>
      <c r="D5">
        <v>12000</v>
      </c>
      <c r="E5">
        <v>41550</v>
      </c>
      <c r="F5" s="13">
        <v>46379</v>
      </c>
      <c r="G5" s="14">
        <f>G4-D5</f>
        <v>131980</v>
      </c>
      <c r="H5" s="15"/>
      <c r="I5"/>
      <c r="J5"/>
      <c r="K5"/>
    </row>
    <row r="6" spans="1:11" ht="18" x14ac:dyDescent="0.35">
      <c r="A6" s="12"/>
      <c r="D6">
        <v>44400</v>
      </c>
      <c r="E6">
        <v>41551</v>
      </c>
      <c r="F6" s="13">
        <v>46386</v>
      </c>
      <c r="G6" s="14">
        <f>G5-D6</f>
        <v>87580</v>
      </c>
      <c r="H6" s="15"/>
      <c r="I6"/>
      <c r="J6"/>
      <c r="K6"/>
    </row>
    <row r="7" spans="1:11" ht="18" x14ac:dyDescent="0.35">
      <c r="A7" s="12"/>
      <c r="D7">
        <v>99580</v>
      </c>
      <c r="E7" t="s">
        <v>95</v>
      </c>
      <c r="F7" s="13">
        <v>46038</v>
      </c>
      <c r="G7" s="102">
        <v>100000</v>
      </c>
      <c r="H7" s="15"/>
      <c r="I7"/>
      <c r="J7"/>
      <c r="K7"/>
    </row>
    <row r="8" spans="1:11" ht="18" x14ac:dyDescent="0.35">
      <c r="A8" s="12"/>
      <c r="F8" s="13"/>
      <c r="G8" s="18"/>
      <c r="H8" s="15"/>
      <c r="I8"/>
      <c r="J8"/>
      <c r="K8"/>
    </row>
    <row r="9" spans="1:11" ht="18" x14ac:dyDescent="0.35">
      <c r="A9" s="4"/>
      <c r="B9" s="5"/>
      <c r="C9" s="5"/>
      <c r="D9" s="5"/>
      <c r="E9" s="5"/>
      <c r="F9" s="6"/>
      <c r="G9" s="7"/>
      <c r="H9" s="8"/>
      <c r="I9"/>
      <c r="J9"/>
      <c r="K9"/>
    </row>
    <row r="10" spans="1:11" ht="18" x14ac:dyDescent="0.35">
      <c r="A10" s="12">
        <v>46048</v>
      </c>
      <c r="B10">
        <v>20460</v>
      </c>
      <c r="C10">
        <v>550000</v>
      </c>
      <c r="D10">
        <v>147900</v>
      </c>
      <c r="E10">
        <v>41655</v>
      </c>
      <c r="F10" s="13">
        <v>46118</v>
      </c>
      <c r="G10" s="14">
        <f>C10-D10</f>
        <v>402100</v>
      </c>
      <c r="H10" s="15"/>
      <c r="I10"/>
      <c r="J10"/>
      <c r="K10"/>
    </row>
    <row r="11" spans="1:11" ht="18" x14ac:dyDescent="0.35">
      <c r="A11" s="12"/>
      <c r="D11">
        <v>74000</v>
      </c>
      <c r="E11">
        <v>41703</v>
      </c>
      <c r="F11" s="13">
        <v>46156</v>
      </c>
      <c r="G11" s="14">
        <f>G10-D11</f>
        <v>328100</v>
      </c>
      <c r="H11" s="15"/>
      <c r="I11"/>
      <c r="J11"/>
      <c r="K11"/>
    </row>
    <row r="12" spans="1:11" ht="18" x14ac:dyDescent="0.35">
      <c r="A12" s="12"/>
      <c r="D12">
        <v>40000</v>
      </c>
      <c r="E12">
        <v>41736</v>
      </c>
      <c r="F12" s="13">
        <v>46181</v>
      </c>
      <c r="G12" s="18">
        <f>G11-D12</f>
        <v>288100</v>
      </c>
      <c r="I12"/>
      <c r="J12"/>
      <c r="K12"/>
    </row>
    <row r="13" spans="1:11" ht="18" x14ac:dyDescent="0.35">
      <c r="A13" s="12"/>
      <c r="D13">
        <v>53000</v>
      </c>
      <c r="E13">
        <v>41771</v>
      </c>
      <c r="F13" s="13">
        <v>46212</v>
      </c>
      <c r="G13" s="18">
        <f>G12-D13</f>
        <v>235100</v>
      </c>
      <c r="H13" s="15"/>
      <c r="I13"/>
      <c r="J13"/>
      <c r="K13"/>
    </row>
    <row r="14" spans="1:11" ht="18" x14ac:dyDescent="0.35">
      <c r="A14" s="12"/>
      <c r="D14">
        <v>235000</v>
      </c>
      <c r="E14">
        <v>41779</v>
      </c>
      <c r="F14" s="13">
        <v>46219</v>
      </c>
      <c r="G14" s="18">
        <f>G13-D14</f>
        <v>100</v>
      </c>
      <c r="H14" s="15" t="s">
        <v>9</v>
      </c>
      <c r="I14"/>
      <c r="J14"/>
      <c r="K14"/>
    </row>
    <row r="15" spans="1:11" ht="18" x14ac:dyDescent="0.35">
      <c r="A15" s="4"/>
      <c r="B15" s="5"/>
      <c r="C15" s="5"/>
      <c r="D15" s="5"/>
      <c r="E15" s="5"/>
      <c r="F15" s="6"/>
      <c r="G15" s="7"/>
      <c r="H15" s="8"/>
      <c r="I15"/>
      <c r="J15"/>
      <c r="K15"/>
    </row>
    <row r="16" spans="1:11" x14ac:dyDescent="0.3">
      <c r="A16" s="12">
        <v>46126</v>
      </c>
      <c r="B16" t="s">
        <v>10</v>
      </c>
      <c r="C16">
        <v>400000</v>
      </c>
      <c r="D16">
        <v>198000</v>
      </c>
      <c r="E16" s="21">
        <v>41745</v>
      </c>
      <c r="F16" s="13">
        <v>46184</v>
      </c>
      <c r="G16">
        <f>C16-D16</f>
        <v>202000</v>
      </c>
      <c r="H16" s="15"/>
      <c r="I16"/>
      <c r="J16"/>
      <c r="K16"/>
    </row>
    <row r="17" spans="1:11" x14ac:dyDescent="0.3">
      <c r="A17" s="12"/>
      <c r="D17">
        <v>160000</v>
      </c>
      <c r="E17">
        <v>41754</v>
      </c>
      <c r="F17" s="13">
        <v>46203</v>
      </c>
      <c r="G17">
        <f>G16-D17</f>
        <v>42000</v>
      </c>
      <c r="I17"/>
      <c r="J17"/>
      <c r="K17"/>
    </row>
    <row r="18" spans="1:11" x14ac:dyDescent="0.3">
      <c r="A18" s="12"/>
      <c r="D18">
        <v>42000</v>
      </c>
      <c r="E18">
        <v>41757</v>
      </c>
      <c r="F18" s="13">
        <v>46204</v>
      </c>
      <c r="G18">
        <f>G17-D18</f>
        <v>0</v>
      </c>
      <c r="H18" s="15" t="s">
        <v>11</v>
      </c>
      <c r="I18"/>
      <c r="J18"/>
      <c r="K18"/>
    </row>
    <row r="19" spans="1:11" ht="18" x14ac:dyDescent="0.35">
      <c r="A19" s="4"/>
      <c r="B19" s="5"/>
      <c r="C19" s="5"/>
      <c r="D19" s="5"/>
      <c r="E19" s="5"/>
      <c r="F19" s="6"/>
      <c r="G19" s="7"/>
      <c r="H19" s="8"/>
      <c r="I19"/>
      <c r="J19"/>
      <c r="K19"/>
    </row>
    <row r="20" spans="1:11" x14ac:dyDescent="0.3">
      <c r="A20" s="12"/>
      <c r="C20">
        <v>60000</v>
      </c>
      <c r="D20">
        <v>58000</v>
      </c>
      <c r="E20">
        <v>41758</v>
      </c>
      <c r="F20" s="13">
        <v>46205</v>
      </c>
      <c r="G20">
        <f>C20-D20</f>
        <v>2000</v>
      </c>
      <c r="H20" s="22" t="s">
        <v>9</v>
      </c>
      <c r="I20"/>
      <c r="J20"/>
      <c r="K20"/>
    </row>
    <row r="21" spans="1:11" ht="18" x14ac:dyDescent="0.35">
      <c r="A21" s="4"/>
      <c r="B21" s="5"/>
      <c r="C21" s="5"/>
      <c r="D21" s="5"/>
      <c r="E21" s="5"/>
      <c r="F21" s="6"/>
      <c r="G21" s="7"/>
      <c r="H21" s="8"/>
      <c r="I21"/>
      <c r="J21"/>
      <c r="K21"/>
    </row>
    <row r="22" spans="1:11" ht="18" x14ac:dyDescent="0.35">
      <c r="A22" s="12"/>
      <c r="F22" s="13"/>
      <c r="G22" s="18"/>
      <c r="H22" s="15"/>
      <c r="I22"/>
      <c r="J22"/>
      <c r="K22"/>
    </row>
    <row r="23" spans="1:11" ht="18.600000000000001" thickBot="1" x14ac:dyDescent="0.4">
      <c r="A23" s="24"/>
      <c r="B23" s="25"/>
      <c r="C23" s="25"/>
      <c r="D23" s="25"/>
      <c r="E23" s="112" t="s">
        <v>12</v>
      </c>
      <c r="F23" s="112"/>
      <c r="G23" s="27">
        <f>G7</f>
        <v>100000</v>
      </c>
      <c r="H23" s="28"/>
      <c r="I23"/>
      <c r="J23"/>
      <c r="K23"/>
    </row>
    <row r="24" spans="1:11" ht="15" thickBot="1" x14ac:dyDescent="0.35">
      <c r="I24"/>
      <c r="J24"/>
      <c r="K24"/>
    </row>
    <row r="25" spans="1:11" ht="18" thickBot="1" x14ac:dyDescent="0.35">
      <c r="A25" s="113" t="s">
        <v>13</v>
      </c>
      <c r="B25" s="114"/>
      <c r="C25" s="114"/>
      <c r="D25" s="114"/>
      <c r="E25" s="114"/>
      <c r="F25" s="114"/>
      <c r="G25" s="114"/>
      <c r="H25" s="115"/>
      <c r="I25"/>
      <c r="J25"/>
      <c r="K25"/>
    </row>
    <row r="26" spans="1:11" ht="47.4" thickBot="1" x14ac:dyDescent="0.35">
      <c r="A26" s="29" t="s">
        <v>1</v>
      </c>
      <c r="B26" s="29" t="s">
        <v>2</v>
      </c>
      <c r="C26" s="29" t="s">
        <v>3</v>
      </c>
      <c r="D26" s="29" t="s">
        <v>4</v>
      </c>
      <c r="E26" s="30" t="s">
        <v>5</v>
      </c>
      <c r="F26" s="29" t="s">
        <v>6</v>
      </c>
      <c r="G26" s="29" t="s">
        <v>7</v>
      </c>
      <c r="H26" s="31" t="s">
        <v>8</v>
      </c>
      <c r="I26"/>
      <c r="J26"/>
      <c r="K26"/>
    </row>
    <row r="27" spans="1:11" x14ac:dyDescent="0.3">
      <c r="A27" s="32"/>
      <c r="B27" s="33"/>
      <c r="C27" s="33"/>
      <c r="D27" s="5"/>
      <c r="E27" s="5"/>
      <c r="F27" s="5"/>
      <c r="G27" s="5"/>
      <c r="H27" s="8"/>
      <c r="I27"/>
      <c r="J27"/>
      <c r="K27"/>
    </row>
    <row r="28" spans="1:11" x14ac:dyDescent="0.3">
      <c r="A28" s="34">
        <v>46366</v>
      </c>
      <c r="B28" s="19">
        <v>20007</v>
      </c>
      <c r="C28" s="19">
        <v>100000</v>
      </c>
      <c r="D28">
        <v>99600</v>
      </c>
      <c r="E28">
        <v>41611</v>
      </c>
      <c r="F28" s="13">
        <v>46086</v>
      </c>
      <c r="G28">
        <f>C28-D28</f>
        <v>400</v>
      </c>
      <c r="H28" s="35" t="s">
        <v>11</v>
      </c>
      <c r="I28"/>
      <c r="J28"/>
      <c r="K28"/>
    </row>
    <row r="29" spans="1:11" x14ac:dyDescent="0.3">
      <c r="A29" s="37"/>
      <c r="B29" s="33"/>
      <c r="C29" s="33"/>
      <c r="D29" s="5"/>
      <c r="E29" s="5"/>
      <c r="F29" s="6"/>
      <c r="G29" s="5"/>
      <c r="H29" s="38"/>
      <c r="I29"/>
      <c r="J29"/>
      <c r="K29"/>
    </row>
    <row r="30" spans="1:11" x14ac:dyDescent="0.3">
      <c r="A30" s="116"/>
      <c r="B30" s="117">
        <v>20724</v>
      </c>
      <c r="C30" s="117">
        <v>380000</v>
      </c>
      <c r="D30">
        <v>5100</v>
      </c>
      <c r="E30">
        <v>41659</v>
      </c>
      <c r="F30" s="13">
        <v>46122</v>
      </c>
      <c r="G30">
        <f>C30-D30</f>
        <v>374900</v>
      </c>
      <c r="H30" s="35"/>
      <c r="I30"/>
      <c r="J30"/>
      <c r="K30"/>
    </row>
    <row r="31" spans="1:11" x14ac:dyDescent="0.3">
      <c r="A31" s="116"/>
      <c r="B31" s="117"/>
      <c r="C31" s="117"/>
      <c r="D31">
        <v>9000</v>
      </c>
      <c r="E31">
        <v>41668</v>
      </c>
      <c r="F31" s="13">
        <v>46129</v>
      </c>
      <c r="G31">
        <f t="shared" ref="G31:G36" si="0">G30-D31</f>
        <v>365900</v>
      </c>
      <c r="H31" s="35"/>
      <c r="I31"/>
      <c r="J31"/>
      <c r="K31"/>
    </row>
    <row r="32" spans="1:11" x14ac:dyDescent="0.3">
      <c r="A32" s="116"/>
      <c r="B32" s="117"/>
      <c r="C32" s="117"/>
      <c r="D32">
        <v>53100</v>
      </c>
      <c r="E32">
        <v>41670</v>
      </c>
      <c r="F32" s="13">
        <v>46130</v>
      </c>
      <c r="G32">
        <f t="shared" si="0"/>
        <v>312800</v>
      </c>
      <c r="H32" s="20"/>
      <c r="I32"/>
      <c r="J32"/>
      <c r="K32"/>
    </row>
    <row r="33" spans="1:11" x14ac:dyDescent="0.3">
      <c r="A33" s="116"/>
      <c r="B33" s="117"/>
      <c r="C33" s="117"/>
      <c r="D33">
        <v>20400</v>
      </c>
      <c r="E33">
        <v>41672</v>
      </c>
      <c r="F33" s="13">
        <v>46135</v>
      </c>
      <c r="G33">
        <f t="shared" si="0"/>
        <v>292400</v>
      </c>
      <c r="H33" s="20"/>
      <c r="I33"/>
      <c r="J33"/>
      <c r="K33"/>
    </row>
    <row r="34" spans="1:11" x14ac:dyDescent="0.3">
      <c r="A34" s="116"/>
      <c r="B34" s="117"/>
      <c r="C34" s="117"/>
      <c r="D34">
        <v>121200</v>
      </c>
      <c r="E34">
        <v>41674</v>
      </c>
      <c r="F34" s="13">
        <v>46136</v>
      </c>
      <c r="G34">
        <f t="shared" si="0"/>
        <v>171200</v>
      </c>
      <c r="H34" s="20"/>
      <c r="I34"/>
      <c r="J34"/>
      <c r="K34"/>
    </row>
    <row r="35" spans="1:11" x14ac:dyDescent="0.3">
      <c r="A35" s="116"/>
      <c r="B35" s="117"/>
      <c r="C35" s="117"/>
      <c r="D35">
        <f>27*1200</f>
        <v>32400</v>
      </c>
      <c r="E35">
        <v>41687</v>
      </c>
      <c r="F35" s="13">
        <v>46142</v>
      </c>
      <c r="G35">
        <f t="shared" si="0"/>
        <v>138800</v>
      </c>
      <c r="H35" s="20"/>
      <c r="I35"/>
      <c r="J35"/>
      <c r="K35"/>
    </row>
    <row r="36" spans="1:11" ht="28.8" x14ac:dyDescent="0.3">
      <c r="A36" s="116"/>
      <c r="B36" s="117"/>
      <c r="C36" s="117"/>
      <c r="D36">
        <v>170000</v>
      </c>
      <c r="E36">
        <v>41692</v>
      </c>
      <c r="F36" s="13">
        <v>46148</v>
      </c>
      <c r="G36">
        <f t="shared" si="0"/>
        <v>-31200</v>
      </c>
      <c r="H36" s="20" t="s">
        <v>14</v>
      </c>
      <c r="I36"/>
      <c r="J36"/>
      <c r="K36"/>
    </row>
    <row r="37" spans="1:11" x14ac:dyDescent="0.3">
      <c r="A37" s="40"/>
      <c r="B37" s="41"/>
      <c r="C37" s="41"/>
      <c r="D37" s="5"/>
      <c r="E37" s="5"/>
      <c r="F37" s="6"/>
      <c r="G37" s="5"/>
      <c r="H37" s="42"/>
      <c r="I37"/>
      <c r="J37"/>
      <c r="K37"/>
    </row>
    <row r="38" spans="1:11" x14ac:dyDescent="0.3">
      <c r="A38" s="43"/>
      <c r="B38" s="3" t="s">
        <v>15</v>
      </c>
      <c r="C38" s="3">
        <v>480000</v>
      </c>
      <c r="D38">
        <v>150000</v>
      </c>
      <c r="E38">
        <v>41726</v>
      </c>
      <c r="F38" s="13">
        <v>46170</v>
      </c>
      <c r="G38">
        <f>C38-D38</f>
        <v>330000</v>
      </c>
      <c r="H38" s="20"/>
      <c r="I38"/>
      <c r="J38"/>
      <c r="K38"/>
    </row>
    <row r="39" spans="1:11" x14ac:dyDescent="0.3">
      <c r="A39" s="43"/>
      <c r="B39" s="3"/>
      <c r="C39" s="3"/>
      <c r="D39">
        <v>330000</v>
      </c>
      <c r="E39">
        <v>41732</v>
      </c>
      <c r="F39" s="13">
        <v>46177</v>
      </c>
      <c r="G39">
        <f>G38-D39</f>
        <v>0</v>
      </c>
      <c r="H39" s="20" t="s">
        <v>11</v>
      </c>
      <c r="I39"/>
      <c r="J39"/>
      <c r="K39"/>
    </row>
    <row r="40" spans="1:11" x14ac:dyDescent="0.3">
      <c r="A40" s="40"/>
      <c r="B40" s="41"/>
      <c r="C40" s="41"/>
      <c r="D40" s="5"/>
      <c r="E40" s="5"/>
      <c r="F40" s="6"/>
      <c r="G40" s="5"/>
      <c r="H40" s="42"/>
      <c r="I40"/>
      <c r="J40"/>
      <c r="K40"/>
    </row>
    <row r="41" spans="1:11" ht="18.600000000000001" thickBot="1" x14ac:dyDescent="0.4">
      <c r="A41" s="24"/>
      <c r="B41" s="25"/>
      <c r="C41" s="25"/>
      <c r="D41" s="112" t="s">
        <v>16</v>
      </c>
      <c r="E41" s="112"/>
      <c r="F41" s="112"/>
      <c r="G41" s="118">
        <v>0</v>
      </c>
      <c r="H41" s="119"/>
      <c r="I41"/>
      <c r="J41"/>
      <c r="K41"/>
    </row>
    <row r="42" spans="1:11" ht="15" thickBot="1" x14ac:dyDescent="0.35">
      <c r="I42"/>
      <c r="J42"/>
      <c r="K42"/>
    </row>
    <row r="43" spans="1:11" ht="18.600000000000001" thickBot="1" x14ac:dyDescent="0.4">
      <c r="A43" s="120" t="s">
        <v>17</v>
      </c>
      <c r="B43" s="121"/>
      <c r="C43" s="121"/>
      <c r="D43" s="121"/>
      <c r="E43" s="121"/>
      <c r="F43" s="121"/>
      <c r="G43" s="121"/>
      <c r="H43" s="122"/>
      <c r="I43"/>
      <c r="J43"/>
      <c r="K43"/>
    </row>
    <row r="44" spans="1:11" ht="29.4" thickBot="1" x14ac:dyDescent="0.35">
      <c r="A44" s="44" t="s">
        <v>1</v>
      </c>
      <c r="B44" s="44" t="s">
        <v>2</v>
      </c>
      <c r="C44" s="44" t="s">
        <v>3</v>
      </c>
      <c r="D44" s="44" t="s">
        <v>4</v>
      </c>
      <c r="E44" s="44" t="s">
        <v>5</v>
      </c>
      <c r="F44" s="44" t="s">
        <v>6</v>
      </c>
      <c r="G44" s="44" t="s">
        <v>7</v>
      </c>
      <c r="H44" s="45" t="s">
        <v>8</v>
      </c>
      <c r="I44"/>
      <c r="J44"/>
      <c r="K44"/>
    </row>
    <row r="45" spans="1:11" x14ac:dyDescent="0.3">
      <c r="A45" s="40"/>
      <c r="B45" s="5"/>
      <c r="C45" s="5"/>
      <c r="D45" s="5"/>
      <c r="E45" s="5"/>
      <c r="F45" s="5"/>
      <c r="G45" s="5"/>
      <c r="H45" s="33"/>
      <c r="I45"/>
      <c r="J45"/>
      <c r="K45"/>
    </row>
    <row r="46" spans="1:11" x14ac:dyDescent="0.3">
      <c r="A46" s="12">
        <v>46056</v>
      </c>
      <c r="B46" s="21">
        <v>20410</v>
      </c>
      <c r="C46">
        <v>50000</v>
      </c>
      <c r="D46">
        <f>157200-130800</f>
        <v>26400</v>
      </c>
      <c r="E46">
        <v>41632</v>
      </c>
      <c r="F46" s="13">
        <v>46100</v>
      </c>
      <c r="G46">
        <f>C46-D46</f>
        <v>23600</v>
      </c>
      <c r="I46"/>
      <c r="J46"/>
      <c r="K46"/>
    </row>
    <row r="47" spans="1:11" x14ac:dyDescent="0.3">
      <c r="A47" s="12"/>
      <c r="B47" s="21"/>
      <c r="E47" t="s">
        <v>18</v>
      </c>
      <c r="F47" s="13">
        <v>46122</v>
      </c>
      <c r="I47"/>
      <c r="J47"/>
      <c r="K47"/>
    </row>
    <row r="48" spans="1:11" ht="28.8" x14ac:dyDescent="0.3">
      <c r="A48" s="12"/>
      <c r="B48" s="21"/>
      <c r="D48">
        <v>27300</v>
      </c>
      <c r="E48">
        <v>41656</v>
      </c>
      <c r="F48" s="13">
        <v>46122</v>
      </c>
      <c r="G48">
        <f>G46-D48</f>
        <v>-3700</v>
      </c>
      <c r="H48" s="46" t="s">
        <v>19</v>
      </c>
      <c r="I48"/>
      <c r="J48"/>
      <c r="K48"/>
    </row>
    <row r="49" spans="1:11" x14ac:dyDescent="0.3">
      <c r="A49" s="40"/>
      <c r="B49" s="5"/>
      <c r="C49" s="5"/>
      <c r="D49" s="5"/>
      <c r="E49" s="5"/>
      <c r="F49" s="5"/>
      <c r="G49" s="47"/>
      <c r="H49" s="48"/>
      <c r="I49"/>
      <c r="J49"/>
      <c r="K49"/>
    </row>
    <row r="50" spans="1:11" x14ac:dyDescent="0.3">
      <c r="A50" s="12">
        <v>46126</v>
      </c>
      <c r="B50" t="s">
        <v>20</v>
      </c>
      <c r="C50">
        <v>50000</v>
      </c>
      <c r="D50">
        <v>50000</v>
      </c>
      <c r="E50">
        <v>41683</v>
      </c>
      <c r="F50" s="13">
        <v>46142</v>
      </c>
      <c r="G50" s="11">
        <f>C50-D50</f>
        <v>0</v>
      </c>
      <c r="H50" s="49"/>
      <c r="I50"/>
      <c r="J50"/>
      <c r="K50"/>
    </row>
    <row r="51" spans="1:11" ht="28.8" x14ac:dyDescent="0.3">
      <c r="A51" s="43"/>
      <c r="D51">
        <v>15000</v>
      </c>
      <c r="E51">
        <v>41684</v>
      </c>
      <c r="F51" s="13">
        <v>46142</v>
      </c>
      <c r="G51" s="11">
        <f>G50-D51</f>
        <v>-15000</v>
      </c>
      <c r="H51" s="49" t="s">
        <v>21</v>
      </c>
      <c r="I51"/>
      <c r="J51"/>
      <c r="K51"/>
    </row>
    <row r="52" spans="1:11" x14ac:dyDescent="0.3">
      <c r="A52" s="40"/>
      <c r="B52" s="5"/>
      <c r="C52" s="5"/>
      <c r="D52" s="5"/>
      <c r="E52" s="5"/>
      <c r="F52" s="6"/>
      <c r="G52" s="47"/>
      <c r="H52" s="48"/>
      <c r="I52"/>
      <c r="J52"/>
      <c r="K52"/>
    </row>
    <row r="53" spans="1:11" ht="28.8" x14ac:dyDescent="0.3">
      <c r="A53" s="50">
        <v>41760</v>
      </c>
      <c r="B53" t="s">
        <v>22</v>
      </c>
      <c r="C53">
        <v>170000</v>
      </c>
      <c r="D53">
        <v>182000</v>
      </c>
      <c r="E53">
        <v>41749</v>
      </c>
      <c r="F53" s="13">
        <v>46191</v>
      </c>
      <c r="G53" s="11">
        <f>C53-D53</f>
        <v>-12000</v>
      </c>
      <c r="H53" s="49" t="s">
        <v>14</v>
      </c>
      <c r="I53"/>
      <c r="J53"/>
      <c r="K53"/>
    </row>
    <row r="54" spans="1:11" x14ac:dyDescent="0.3">
      <c r="A54" s="40"/>
      <c r="B54" s="5"/>
      <c r="C54" s="5"/>
      <c r="D54" s="5"/>
      <c r="E54" s="5"/>
      <c r="F54" s="6"/>
      <c r="G54" s="47"/>
      <c r="H54" s="48"/>
      <c r="I54"/>
      <c r="J54"/>
      <c r="K54"/>
    </row>
    <row r="55" spans="1:11" ht="18.600000000000001" thickBot="1" x14ac:dyDescent="0.4">
      <c r="A55" s="24"/>
      <c r="B55" s="25"/>
      <c r="C55" s="25"/>
      <c r="D55" s="25"/>
      <c r="E55" s="118" t="s">
        <v>23</v>
      </c>
      <c r="F55" s="118"/>
      <c r="G55" s="51">
        <v>0</v>
      </c>
      <c r="H55" s="52"/>
      <c r="I55"/>
      <c r="J55"/>
      <c r="K55"/>
    </row>
    <row r="56" spans="1:11" ht="15" thickBot="1" x14ac:dyDescent="0.35">
      <c r="I56"/>
      <c r="J56"/>
      <c r="K56"/>
    </row>
    <row r="57" spans="1:11" x14ac:dyDescent="0.3">
      <c r="A57" s="109" t="s">
        <v>24</v>
      </c>
      <c r="B57" s="110"/>
      <c r="C57" s="110"/>
      <c r="D57" s="110"/>
      <c r="E57" s="110"/>
      <c r="F57" s="110"/>
      <c r="G57" s="110"/>
      <c r="H57" s="111"/>
      <c r="I57"/>
      <c r="J57"/>
      <c r="K57"/>
    </row>
    <row r="58" spans="1:11" ht="15" thickBot="1" x14ac:dyDescent="0.35">
      <c r="A58" s="123"/>
      <c r="B58" s="124"/>
      <c r="C58" s="124"/>
      <c r="D58" s="124"/>
      <c r="E58" s="124"/>
      <c r="F58" s="124"/>
      <c r="G58" s="124"/>
      <c r="H58" s="125"/>
      <c r="I58"/>
      <c r="J58"/>
      <c r="K58"/>
    </row>
    <row r="59" spans="1:11" ht="47.4" thickBot="1" x14ac:dyDescent="0.35">
      <c r="A59" s="29" t="s">
        <v>1</v>
      </c>
      <c r="B59" s="29" t="s">
        <v>2</v>
      </c>
      <c r="C59" s="29" t="s">
        <v>3</v>
      </c>
      <c r="D59" s="29" t="s">
        <v>4</v>
      </c>
      <c r="E59" s="29" t="s">
        <v>5</v>
      </c>
      <c r="F59" s="29" t="s">
        <v>6</v>
      </c>
      <c r="G59" s="29" t="s">
        <v>7</v>
      </c>
      <c r="H59" s="31" t="s">
        <v>8</v>
      </c>
      <c r="I59"/>
      <c r="J59"/>
      <c r="K59"/>
    </row>
    <row r="60" spans="1:11" x14ac:dyDescent="0.3">
      <c r="A60" s="4"/>
      <c r="B60" s="5"/>
      <c r="C60" s="5"/>
      <c r="D60" s="5"/>
      <c r="E60" s="5"/>
      <c r="F60" s="6"/>
      <c r="G60" s="5"/>
      <c r="H60" s="38"/>
      <c r="I60"/>
      <c r="J60"/>
      <c r="K60"/>
    </row>
    <row r="61" spans="1:11" ht="28.8" x14ac:dyDescent="0.3">
      <c r="A61" s="12">
        <v>46126</v>
      </c>
      <c r="B61" t="s">
        <v>25</v>
      </c>
      <c r="C61">
        <v>200000</v>
      </c>
      <c r="D61">
        <v>204000</v>
      </c>
      <c r="E61">
        <v>41717</v>
      </c>
      <c r="F61" s="13">
        <v>46163</v>
      </c>
      <c r="G61">
        <f>C61-D61</f>
        <v>-4000</v>
      </c>
      <c r="H61" s="35" t="s">
        <v>21</v>
      </c>
      <c r="I61"/>
      <c r="J61"/>
      <c r="K61"/>
    </row>
    <row r="62" spans="1:11" x14ac:dyDescent="0.3">
      <c r="A62" s="4"/>
      <c r="B62" s="5"/>
      <c r="C62" s="5"/>
      <c r="D62" s="5"/>
      <c r="E62" s="5"/>
      <c r="F62" s="6"/>
      <c r="G62" s="5"/>
      <c r="H62" s="38"/>
      <c r="I62"/>
      <c r="J62"/>
      <c r="K62"/>
    </row>
    <row r="63" spans="1:11" x14ac:dyDescent="0.3">
      <c r="A63" s="12"/>
      <c r="B63" t="s">
        <v>26</v>
      </c>
      <c r="C63">
        <v>150000</v>
      </c>
      <c r="D63">
        <v>146000</v>
      </c>
      <c r="E63">
        <v>41794</v>
      </c>
      <c r="F63" s="13">
        <v>46224</v>
      </c>
      <c r="G63">
        <f>C63-D63</f>
        <v>4000</v>
      </c>
      <c r="H63" s="35" t="s">
        <v>11</v>
      </c>
      <c r="I63"/>
      <c r="J63"/>
      <c r="K63" s="100" t="s">
        <v>111</v>
      </c>
    </row>
    <row r="64" spans="1:11" x14ac:dyDescent="0.3">
      <c r="A64" s="4"/>
      <c r="B64" s="5"/>
      <c r="C64" s="5"/>
      <c r="D64" s="5"/>
      <c r="E64" s="5"/>
      <c r="F64" s="6"/>
      <c r="G64" s="5"/>
      <c r="H64" s="38"/>
      <c r="I64"/>
      <c r="J64"/>
      <c r="K64"/>
    </row>
    <row r="65" spans="1:11" ht="18.600000000000001" thickBot="1" x14ac:dyDescent="0.4">
      <c r="A65" s="24"/>
      <c r="B65" s="25"/>
      <c r="C65" s="25"/>
      <c r="D65" s="25"/>
      <c r="E65" s="108" t="s">
        <v>12</v>
      </c>
      <c r="F65" s="108"/>
      <c r="G65" s="27">
        <v>0</v>
      </c>
      <c r="H65" s="53"/>
      <c r="I65"/>
      <c r="J65"/>
      <c r="K65"/>
    </row>
    <row r="66" spans="1:11" ht="15" thickBot="1" x14ac:dyDescent="0.35">
      <c r="I66"/>
      <c r="J66"/>
      <c r="K66"/>
    </row>
    <row r="67" spans="1:11" ht="18" thickBot="1" x14ac:dyDescent="0.35">
      <c r="A67" s="113" t="s">
        <v>27</v>
      </c>
      <c r="B67" s="114"/>
      <c r="C67" s="114"/>
      <c r="D67" s="114"/>
      <c r="E67" s="114"/>
      <c r="F67" s="114"/>
      <c r="G67" s="114"/>
      <c r="H67" s="115"/>
      <c r="I67"/>
      <c r="J67"/>
      <c r="K67"/>
    </row>
    <row r="68" spans="1:11" ht="47.4" thickBot="1" x14ac:dyDescent="0.35">
      <c r="A68" s="29" t="s">
        <v>1</v>
      </c>
      <c r="B68" s="29" t="s">
        <v>2</v>
      </c>
      <c r="C68" s="29" t="s">
        <v>3</v>
      </c>
      <c r="D68" s="29" t="s">
        <v>4</v>
      </c>
      <c r="E68" s="30" t="s">
        <v>5</v>
      </c>
      <c r="F68" s="29" t="s">
        <v>6</v>
      </c>
      <c r="G68" s="29" t="s">
        <v>7</v>
      </c>
      <c r="H68" s="31" t="s">
        <v>8</v>
      </c>
      <c r="I68"/>
      <c r="J68"/>
      <c r="K68"/>
    </row>
    <row r="69" spans="1:11" x14ac:dyDescent="0.3">
      <c r="A69" s="40"/>
      <c r="B69" s="5"/>
      <c r="C69" s="5"/>
      <c r="D69" s="5"/>
      <c r="E69" s="5"/>
      <c r="F69" s="5"/>
      <c r="G69" s="5"/>
      <c r="H69" s="8"/>
      <c r="I69"/>
      <c r="J69"/>
      <c r="K69"/>
    </row>
    <row r="70" spans="1:11" x14ac:dyDescent="0.3">
      <c r="A70" s="12">
        <v>46126</v>
      </c>
      <c r="B70" t="s">
        <v>28</v>
      </c>
      <c r="C70">
        <v>110000</v>
      </c>
      <c r="D70">
        <v>9000</v>
      </c>
      <c r="E70">
        <v>41685</v>
      </c>
      <c r="F70" s="13">
        <v>46142</v>
      </c>
      <c r="G70">
        <f>C70-D70</f>
        <v>101000</v>
      </c>
      <c r="H70" s="15"/>
      <c r="I70"/>
      <c r="J70"/>
      <c r="K70"/>
    </row>
    <row r="71" spans="1:11" x14ac:dyDescent="0.3">
      <c r="A71" s="43"/>
      <c r="D71">
        <v>79000</v>
      </c>
      <c r="E71">
        <v>41718</v>
      </c>
      <c r="F71" s="13">
        <v>46163</v>
      </c>
      <c r="G71">
        <f>G70-D71</f>
        <v>22000</v>
      </c>
      <c r="H71" s="15"/>
      <c r="I71"/>
      <c r="J71"/>
      <c r="K71"/>
    </row>
    <row r="72" spans="1:11" x14ac:dyDescent="0.3">
      <c r="A72" s="43"/>
      <c r="D72">
        <v>22000</v>
      </c>
      <c r="E72">
        <v>41748</v>
      </c>
      <c r="F72" s="13">
        <v>46191</v>
      </c>
      <c r="G72">
        <f>G71-D72</f>
        <v>0</v>
      </c>
      <c r="H72" s="15" t="s">
        <v>29</v>
      </c>
      <c r="I72"/>
      <c r="J72"/>
      <c r="K72"/>
    </row>
    <row r="73" spans="1:11" x14ac:dyDescent="0.3">
      <c r="A73" s="54"/>
      <c r="B73" s="55"/>
      <c r="C73" s="55"/>
      <c r="D73" s="55"/>
      <c r="E73" s="55"/>
      <c r="F73" s="55"/>
      <c r="G73" s="55"/>
      <c r="H73" s="56"/>
      <c r="I73"/>
      <c r="J73"/>
      <c r="K73"/>
    </row>
    <row r="74" spans="1:11" x14ac:dyDescent="0.3">
      <c r="A74" s="43"/>
      <c r="B74" t="s">
        <v>30</v>
      </c>
      <c r="C74">
        <v>170000</v>
      </c>
      <c r="D74">
        <v>171000</v>
      </c>
      <c r="E74">
        <v>41753</v>
      </c>
      <c r="F74" s="13">
        <v>46203</v>
      </c>
      <c r="G74">
        <f>C74-D74</f>
        <v>-1000</v>
      </c>
      <c r="H74" s="22" t="s">
        <v>29</v>
      </c>
      <c r="I74"/>
      <c r="J74"/>
      <c r="K74"/>
    </row>
    <row r="75" spans="1:11" ht="16.2" thickBot="1" x14ac:dyDescent="0.35">
      <c r="A75" s="24"/>
      <c r="B75" s="25"/>
      <c r="C75" s="25"/>
      <c r="D75" s="25"/>
      <c r="E75" s="112" t="s">
        <v>23</v>
      </c>
      <c r="F75" s="112"/>
      <c r="G75" s="59">
        <v>0</v>
      </c>
      <c r="H75" s="28"/>
      <c r="I75"/>
      <c r="J75"/>
      <c r="K75"/>
    </row>
    <row r="76" spans="1:11" ht="16.2" thickBot="1" x14ac:dyDescent="0.35">
      <c r="E76" s="16"/>
      <c r="F76" s="16"/>
      <c r="G76" s="60"/>
      <c r="I76"/>
      <c r="J76"/>
      <c r="K76"/>
    </row>
    <row r="77" spans="1:11" x14ac:dyDescent="0.3">
      <c r="A77" s="109" t="s">
        <v>31</v>
      </c>
      <c r="B77" s="110"/>
      <c r="C77" s="110"/>
      <c r="D77" s="110"/>
      <c r="E77" s="110"/>
      <c r="F77" s="110"/>
      <c r="G77" s="110"/>
      <c r="H77" s="111"/>
      <c r="I77"/>
      <c r="J77"/>
      <c r="K77"/>
    </row>
    <row r="78" spans="1:11" ht="15" thickBot="1" x14ac:dyDescent="0.35">
      <c r="A78" s="123"/>
      <c r="B78" s="124"/>
      <c r="C78" s="124"/>
      <c r="D78" s="124"/>
      <c r="E78" s="124"/>
      <c r="F78" s="124"/>
      <c r="G78" s="124"/>
      <c r="H78" s="125"/>
      <c r="I78"/>
      <c r="J78"/>
      <c r="K78"/>
    </row>
    <row r="79" spans="1:11" ht="47.4" thickBot="1" x14ac:dyDescent="0.35">
      <c r="A79" s="1" t="s">
        <v>1</v>
      </c>
      <c r="B79" s="1" t="s">
        <v>2</v>
      </c>
      <c r="C79" s="1" t="s">
        <v>3</v>
      </c>
      <c r="D79" s="1" t="s">
        <v>4</v>
      </c>
      <c r="E79" s="61" t="s">
        <v>5</v>
      </c>
      <c r="F79" s="1" t="s">
        <v>6</v>
      </c>
      <c r="G79" s="1" t="s">
        <v>7</v>
      </c>
      <c r="H79" s="2" t="s">
        <v>8</v>
      </c>
      <c r="I79"/>
      <c r="J79"/>
      <c r="K79"/>
    </row>
    <row r="80" spans="1:11" x14ac:dyDescent="0.3">
      <c r="A80" s="62"/>
      <c r="B80" s="55"/>
      <c r="C80" s="55"/>
      <c r="D80" s="55"/>
      <c r="E80" s="55"/>
      <c r="F80" s="63"/>
      <c r="G80" s="55"/>
      <c r="H80" s="64"/>
      <c r="I80"/>
      <c r="J80"/>
      <c r="K80"/>
    </row>
    <row r="81" spans="1:11" x14ac:dyDescent="0.3">
      <c r="A81" s="12">
        <v>46126</v>
      </c>
      <c r="B81" t="s">
        <v>32</v>
      </c>
      <c r="C81">
        <v>50000</v>
      </c>
      <c r="D81">
        <v>34000</v>
      </c>
      <c r="E81">
        <v>41686</v>
      </c>
      <c r="F81" s="13">
        <v>46142</v>
      </c>
      <c r="G81">
        <f>C81-D81</f>
        <v>16000</v>
      </c>
      <c r="H81" s="22"/>
      <c r="I81"/>
      <c r="J81"/>
      <c r="K81"/>
    </row>
    <row r="82" spans="1:11" ht="28.8" x14ac:dyDescent="0.3">
      <c r="A82" s="12"/>
      <c r="D82">
        <v>18000</v>
      </c>
      <c r="E82">
        <v>41693</v>
      </c>
      <c r="F82" s="13">
        <v>46148</v>
      </c>
      <c r="G82">
        <f>G81-D82</f>
        <v>-2000</v>
      </c>
      <c r="H82" s="22" t="s">
        <v>33</v>
      </c>
      <c r="I82"/>
      <c r="J82"/>
      <c r="K82"/>
    </row>
    <row r="83" spans="1:11" x14ac:dyDescent="0.3">
      <c r="A83" s="62"/>
      <c r="B83" s="55"/>
      <c r="C83" s="55"/>
      <c r="D83" s="55"/>
      <c r="E83" s="55"/>
      <c r="F83" s="63"/>
      <c r="G83" s="55"/>
      <c r="H83" s="64"/>
      <c r="I83"/>
      <c r="J83"/>
      <c r="K83"/>
    </row>
    <row r="84" spans="1:11" ht="28.8" x14ac:dyDescent="0.3">
      <c r="A84" s="12"/>
      <c r="B84" t="s">
        <v>34</v>
      </c>
      <c r="C84">
        <v>95000</v>
      </c>
      <c r="D84">
        <v>116000</v>
      </c>
      <c r="E84">
        <v>41781</v>
      </c>
      <c r="F84" s="13">
        <v>46219</v>
      </c>
      <c r="G84">
        <f>C84-D84</f>
        <v>-21000</v>
      </c>
      <c r="H84" s="22" t="s">
        <v>35</v>
      </c>
      <c r="I84"/>
      <c r="J84"/>
      <c r="K84"/>
    </row>
    <row r="85" spans="1:11" x14ac:dyDescent="0.3">
      <c r="A85" s="62"/>
      <c r="B85" s="55"/>
      <c r="C85" s="55"/>
      <c r="D85" s="55"/>
      <c r="E85" s="55"/>
      <c r="F85" s="63"/>
      <c r="G85" s="55"/>
      <c r="H85" s="64"/>
      <c r="I85"/>
      <c r="J85"/>
      <c r="K85"/>
    </row>
    <row r="86" spans="1:11" ht="16.2" thickBot="1" x14ac:dyDescent="0.35">
      <c r="A86" s="24"/>
      <c r="B86" s="25"/>
      <c r="C86" s="25"/>
      <c r="D86" s="25"/>
      <c r="E86" s="112" t="s">
        <v>23</v>
      </c>
      <c r="F86" s="112"/>
      <c r="G86" s="59">
        <f>G84</f>
        <v>-21000</v>
      </c>
      <c r="H86" s="65"/>
      <c r="I86"/>
      <c r="J86"/>
      <c r="K86"/>
    </row>
    <row r="87" spans="1:11" ht="16.2" thickBot="1" x14ac:dyDescent="0.35">
      <c r="E87" s="16"/>
      <c r="F87" s="16"/>
      <c r="G87" s="60"/>
      <c r="I87"/>
      <c r="J87"/>
      <c r="K87"/>
    </row>
    <row r="88" spans="1:11" x14ac:dyDescent="0.3">
      <c r="A88" s="109" t="s">
        <v>36</v>
      </c>
      <c r="B88" s="110"/>
      <c r="C88" s="110"/>
      <c r="D88" s="110"/>
      <c r="E88" s="110"/>
      <c r="F88" s="110"/>
      <c r="G88" s="110"/>
      <c r="H88" s="111"/>
      <c r="I88"/>
      <c r="J88"/>
      <c r="K88"/>
    </row>
    <row r="89" spans="1:11" ht="15" thickBot="1" x14ac:dyDescent="0.35">
      <c r="A89" s="123"/>
      <c r="B89" s="124"/>
      <c r="C89" s="124"/>
      <c r="D89" s="124"/>
      <c r="E89" s="124"/>
      <c r="F89" s="124"/>
      <c r="G89" s="124"/>
      <c r="H89" s="125"/>
      <c r="I89"/>
      <c r="J89"/>
      <c r="K89"/>
    </row>
    <row r="90" spans="1:11" ht="47.4" thickBot="1" x14ac:dyDescent="0.35">
      <c r="A90" s="1" t="s">
        <v>1</v>
      </c>
      <c r="B90" s="1" t="s">
        <v>2</v>
      </c>
      <c r="C90" s="1" t="s">
        <v>3</v>
      </c>
      <c r="D90" s="1" t="s">
        <v>4</v>
      </c>
      <c r="E90" s="1" t="s">
        <v>5</v>
      </c>
      <c r="F90" s="1" t="s">
        <v>6</v>
      </c>
      <c r="G90" s="1" t="s">
        <v>7</v>
      </c>
      <c r="H90" s="2" t="s">
        <v>8</v>
      </c>
      <c r="I90"/>
      <c r="J90"/>
      <c r="K90"/>
    </row>
    <row r="91" spans="1:11" x14ac:dyDescent="0.3">
      <c r="A91" s="126"/>
      <c r="B91" s="127"/>
      <c r="C91" s="127"/>
      <c r="D91" s="127"/>
      <c r="E91" s="127"/>
      <c r="F91" s="127"/>
      <c r="G91" s="127"/>
      <c r="H91" s="128"/>
      <c r="I91"/>
      <c r="J91"/>
      <c r="K91"/>
    </row>
    <row r="92" spans="1:11" x14ac:dyDescent="0.3">
      <c r="A92" s="39">
        <v>46126</v>
      </c>
      <c r="B92" s="3" t="s">
        <v>37</v>
      </c>
      <c r="C92" s="3">
        <v>80000</v>
      </c>
      <c r="D92" s="3">
        <v>75000</v>
      </c>
      <c r="E92" s="3">
        <v>41704</v>
      </c>
      <c r="F92" s="69">
        <v>46156</v>
      </c>
      <c r="G92" s="3">
        <f>C92-D92</f>
        <v>5000</v>
      </c>
      <c r="H92" s="10" t="s">
        <v>11</v>
      </c>
      <c r="I92"/>
      <c r="J92"/>
      <c r="K92"/>
    </row>
    <row r="93" spans="1:11" x14ac:dyDescent="0.3">
      <c r="A93" s="66"/>
      <c r="B93" s="67"/>
      <c r="C93" s="67"/>
      <c r="D93" s="67"/>
      <c r="E93" s="67"/>
      <c r="F93" s="67"/>
      <c r="G93" s="67"/>
      <c r="H93" s="68"/>
      <c r="I93"/>
      <c r="J93"/>
      <c r="K93"/>
    </row>
    <row r="94" spans="1:11" x14ac:dyDescent="0.3">
      <c r="A94" s="39">
        <v>46219</v>
      </c>
      <c r="B94" s="3" t="s">
        <v>112</v>
      </c>
      <c r="C94" s="3">
        <v>145000</v>
      </c>
      <c r="D94" s="3"/>
      <c r="E94" s="3"/>
      <c r="F94" s="3"/>
      <c r="G94" s="3">
        <v>145000</v>
      </c>
      <c r="H94" s="20" t="s">
        <v>41</v>
      </c>
      <c r="I94"/>
      <c r="J94"/>
      <c r="K94"/>
    </row>
    <row r="95" spans="1:11" x14ac:dyDescent="0.3">
      <c r="A95" s="66"/>
      <c r="B95" s="67"/>
      <c r="C95" s="67"/>
      <c r="D95" s="67"/>
      <c r="E95" s="67"/>
      <c r="F95" s="67"/>
      <c r="G95" s="67"/>
      <c r="H95" s="68"/>
      <c r="I95"/>
      <c r="J95"/>
      <c r="K95"/>
    </row>
    <row r="96" spans="1:11" ht="16.2" thickBot="1" x14ac:dyDescent="0.35">
      <c r="A96" s="24"/>
      <c r="B96" s="25"/>
      <c r="C96" s="25"/>
      <c r="D96" s="112" t="s">
        <v>16</v>
      </c>
      <c r="E96" s="112"/>
      <c r="F96" s="112"/>
      <c r="G96" s="70">
        <f>G94</f>
        <v>145000</v>
      </c>
      <c r="H96" s="65"/>
      <c r="I96"/>
      <c r="J96"/>
      <c r="K96"/>
    </row>
    <row r="97" spans="1:11" ht="15" thickBot="1" x14ac:dyDescent="0.35">
      <c r="I97"/>
      <c r="J97"/>
      <c r="K97"/>
    </row>
    <row r="98" spans="1:11" x14ac:dyDescent="0.3">
      <c r="A98" s="109" t="s">
        <v>38</v>
      </c>
      <c r="B98" s="110"/>
      <c r="C98" s="110"/>
      <c r="D98" s="110"/>
      <c r="E98" s="110"/>
      <c r="F98" s="110"/>
      <c r="G98" s="110"/>
      <c r="H98" s="111"/>
      <c r="I98"/>
      <c r="J98"/>
      <c r="K98"/>
    </row>
    <row r="99" spans="1:11" ht="15" thickBot="1" x14ac:dyDescent="0.35">
      <c r="A99" s="123"/>
      <c r="B99" s="124"/>
      <c r="C99" s="124"/>
      <c r="D99" s="124"/>
      <c r="E99" s="124"/>
      <c r="F99" s="124"/>
      <c r="G99" s="124"/>
      <c r="H99" s="125"/>
      <c r="I99"/>
      <c r="J99"/>
      <c r="K99"/>
    </row>
    <row r="100" spans="1:11" ht="47.4" thickBot="1" x14ac:dyDescent="0.35">
      <c r="A100" s="29" t="s">
        <v>1</v>
      </c>
      <c r="B100" s="29" t="s">
        <v>2</v>
      </c>
      <c r="C100" s="29" t="s">
        <v>3</v>
      </c>
      <c r="D100" s="29" t="s">
        <v>4</v>
      </c>
      <c r="E100" s="29" t="s">
        <v>5</v>
      </c>
      <c r="F100" s="29" t="s">
        <v>6</v>
      </c>
      <c r="G100" s="29" t="s">
        <v>7</v>
      </c>
      <c r="H100" s="31" t="s">
        <v>8</v>
      </c>
      <c r="I100"/>
      <c r="J100"/>
      <c r="K100"/>
    </row>
    <row r="101" spans="1:11" x14ac:dyDescent="0.3">
      <c r="A101" s="129"/>
      <c r="B101" s="130"/>
      <c r="C101" s="130"/>
      <c r="D101" s="130"/>
      <c r="E101" s="130"/>
      <c r="F101" s="130"/>
      <c r="G101" s="130"/>
      <c r="H101" s="131"/>
      <c r="I101"/>
      <c r="J101"/>
      <c r="K101"/>
    </row>
    <row r="102" spans="1:11" x14ac:dyDescent="0.3">
      <c r="A102" s="39">
        <v>46126</v>
      </c>
      <c r="B102" s="3" t="s">
        <v>39</v>
      </c>
      <c r="C102" s="3">
        <v>70000</v>
      </c>
      <c r="D102" s="3">
        <v>67000</v>
      </c>
      <c r="E102" s="3">
        <v>41706</v>
      </c>
      <c r="F102" s="69">
        <v>46156</v>
      </c>
      <c r="G102" s="3">
        <f>C102-D102</f>
        <v>3000</v>
      </c>
      <c r="H102" s="10" t="s">
        <v>11</v>
      </c>
      <c r="I102"/>
      <c r="J102"/>
      <c r="K102"/>
    </row>
    <row r="103" spans="1:11" ht="28.8" customHeight="1" x14ac:dyDescent="0.3">
      <c r="A103" s="66"/>
      <c r="B103" s="67"/>
      <c r="C103" s="67"/>
      <c r="D103" s="67"/>
      <c r="E103" s="67"/>
      <c r="F103" s="72"/>
      <c r="G103" s="67"/>
      <c r="H103" s="68"/>
      <c r="I103"/>
      <c r="J103"/>
      <c r="K103"/>
    </row>
    <row r="104" spans="1:11" ht="28.8" x14ac:dyDescent="0.3">
      <c r="A104" s="9"/>
      <c r="B104" s="3" t="s">
        <v>40</v>
      </c>
      <c r="C104" s="3">
        <v>80000</v>
      </c>
      <c r="D104" s="3"/>
      <c r="E104" s="3"/>
      <c r="F104" s="69">
        <v>46233</v>
      </c>
      <c r="G104" s="3">
        <f>C104-D104</f>
        <v>80000</v>
      </c>
      <c r="H104" s="20" t="s">
        <v>110</v>
      </c>
      <c r="I104"/>
      <c r="J104"/>
      <c r="K104"/>
    </row>
    <row r="105" spans="1:11" x14ac:dyDescent="0.3">
      <c r="A105" s="66"/>
      <c r="B105" s="67"/>
      <c r="C105" s="67"/>
      <c r="D105" s="67"/>
      <c r="E105" s="67"/>
      <c r="F105" s="67"/>
      <c r="G105" s="67"/>
      <c r="H105" s="68"/>
      <c r="I105"/>
      <c r="J105"/>
      <c r="K105"/>
    </row>
    <row r="106" spans="1:11" x14ac:dyDescent="0.3">
      <c r="A106" s="9"/>
      <c r="B106" s="3" t="s">
        <v>113</v>
      </c>
      <c r="C106" s="3">
        <v>120000</v>
      </c>
      <c r="D106" s="3"/>
      <c r="E106" s="3"/>
      <c r="F106" s="3"/>
      <c r="G106" s="3">
        <v>120000</v>
      </c>
      <c r="H106" s="20" t="s">
        <v>41</v>
      </c>
      <c r="I106"/>
      <c r="J106"/>
      <c r="K106"/>
    </row>
    <row r="107" spans="1:11" x14ac:dyDescent="0.3">
      <c r="A107" s="66"/>
      <c r="B107" s="67"/>
      <c r="C107" s="67"/>
      <c r="D107" s="67"/>
      <c r="E107" s="67"/>
      <c r="F107" s="67"/>
      <c r="G107" s="67"/>
      <c r="H107" s="68"/>
      <c r="I107"/>
      <c r="J107"/>
      <c r="K107"/>
    </row>
    <row r="108" spans="1:11" ht="16.2" thickBot="1" x14ac:dyDescent="0.35">
      <c r="A108" s="24"/>
      <c r="B108" s="25"/>
      <c r="C108" s="25"/>
      <c r="D108" s="25"/>
      <c r="E108" s="112" t="s">
        <v>23</v>
      </c>
      <c r="F108" s="112"/>
      <c r="G108" s="70">
        <f>G104+G106</f>
        <v>200000</v>
      </c>
      <c r="H108" s="28"/>
      <c r="I108"/>
      <c r="J108"/>
      <c r="K108"/>
    </row>
    <row r="109" spans="1:11" ht="15" thickBot="1" x14ac:dyDescent="0.35">
      <c r="I109"/>
      <c r="J109"/>
      <c r="K109"/>
    </row>
    <row r="110" spans="1:11" x14ac:dyDescent="0.3">
      <c r="A110" s="109" t="s">
        <v>42</v>
      </c>
      <c r="B110" s="110"/>
      <c r="C110" s="110"/>
      <c r="D110" s="110"/>
      <c r="E110" s="110"/>
      <c r="F110" s="110"/>
      <c r="G110" s="110"/>
      <c r="H110" s="111"/>
      <c r="I110"/>
      <c r="J110"/>
      <c r="K110"/>
    </row>
    <row r="111" spans="1:11" ht="15" thickBot="1" x14ac:dyDescent="0.35">
      <c r="A111" s="123"/>
      <c r="B111" s="124"/>
      <c r="C111" s="124"/>
      <c r="D111" s="124"/>
      <c r="E111" s="124"/>
      <c r="F111" s="124"/>
      <c r="G111" s="124"/>
      <c r="H111" s="125"/>
      <c r="I111"/>
      <c r="J111"/>
      <c r="K111"/>
    </row>
    <row r="112" spans="1:11" ht="47.4" thickBot="1" x14ac:dyDescent="0.35">
      <c r="A112" s="29" t="s">
        <v>1</v>
      </c>
      <c r="B112" s="29" t="s">
        <v>2</v>
      </c>
      <c r="C112" s="29" t="s">
        <v>3</v>
      </c>
      <c r="D112" s="29" t="s">
        <v>4</v>
      </c>
      <c r="E112" s="29" t="s">
        <v>5</v>
      </c>
      <c r="F112" s="29" t="s">
        <v>6</v>
      </c>
      <c r="G112" s="73" t="s">
        <v>7</v>
      </c>
      <c r="H112" s="61" t="s">
        <v>8</v>
      </c>
      <c r="I112"/>
      <c r="J112"/>
      <c r="K112"/>
    </row>
    <row r="113" spans="1:11" x14ac:dyDescent="0.3">
      <c r="A113" s="54"/>
      <c r="B113" s="55"/>
      <c r="C113" s="55"/>
      <c r="D113" s="55"/>
      <c r="E113" s="55"/>
      <c r="F113" s="55"/>
      <c r="G113" s="55"/>
      <c r="H113" s="74"/>
      <c r="I113"/>
      <c r="J113"/>
      <c r="K113"/>
    </row>
    <row r="114" spans="1:11" x14ac:dyDescent="0.3">
      <c r="A114" s="12">
        <v>46126</v>
      </c>
      <c r="B114" t="s">
        <v>43</v>
      </c>
      <c r="C114">
        <v>82000</v>
      </c>
      <c r="D114">
        <v>79000</v>
      </c>
      <c r="E114">
        <v>41720</v>
      </c>
      <c r="F114" s="13">
        <v>46163</v>
      </c>
      <c r="G114">
        <f>C114-D114</f>
        <v>3000</v>
      </c>
      <c r="H114" s="75" t="s">
        <v>11</v>
      </c>
      <c r="I114"/>
      <c r="J114"/>
      <c r="K114"/>
    </row>
    <row r="115" spans="1:11" x14ac:dyDescent="0.3">
      <c r="A115" s="54"/>
      <c r="B115" s="55"/>
      <c r="C115" s="55"/>
      <c r="D115" s="55"/>
      <c r="E115" s="55"/>
      <c r="F115" s="55"/>
      <c r="G115" s="55"/>
      <c r="H115" s="74"/>
      <c r="I115"/>
      <c r="J115"/>
      <c r="K115"/>
    </row>
    <row r="116" spans="1:11" ht="18.600000000000001" customHeight="1" x14ac:dyDescent="0.3">
      <c r="A116" s="43"/>
      <c r="B116" t="s">
        <v>44</v>
      </c>
      <c r="C116">
        <v>40000</v>
      </c>
      <c r="D116">
        <v>44000</v>
      </c>
      <c r="E116">
        <v>41795</v>
      </c>
      <c r="F116" s="13">
        <v>46224</v>
      </c>
      <c r="G116">
        <f>C116-D116</f>
        <v>-4000</v>
      </c>
      <c r="H116" s="101" t="s">
        <v>11</v>
      </c>
      <c r="I116"/>
      <c r="J116"/>
      <c r="K116"/>
    </row>
    <row r="117" spans="1:11" x14ac:dyDescent="0.3">
      <c r="A117" s="54"/>
      <c r="B117" s="55"/>
      <c r="C117" s="55"/>
      <c r="D117" s="55"/>
      <c r="E117" s="55"/>
      <c r="F117" s="55"/>
      <c r="G117" s="55"/>
      <c r="H117" s="74"/>
      <c r="I117"/>
      <c r="J117"/>
      <c r="K117"/>
    </row>
    <row r="118" spans="1:11" ht="17.399999999999999" customHeight="1" thickBot="1" x14ac:dyDescent="0.35">
      <c r="A118" s="24"/>
      <c r="B118" s="25"/>
      <c r="C118" s="25"/>
      <c r="D118" s="25"/>
      <c r="E118" s="112" t="s">
        <v>23</v>
      </c>
      <c r="F118" s="112"/>
      <c r="G118" s="70">
        <v>0</v>
      </c>
      <c r="H118" s="76"/>
      <c r="I118"/>
      <c r="J118"/>
      <c r="K118"/>
    </row>
    <row r="119" spans="1:11" ht="15" thickBot="1" x14ac:dyDescent="0.35">
      <c r="I119"/>
      <c r="J119"/>
      <c r="K119"/>
    </row>
    <row r="120" spans="1:11" x14ac:dyDescent="0.3">
      <c r="A120" s="109" t="s">
        <v>45</v>
      </c>
      <c r="B120" s="110"/>
      <c r="C120" s="110"/>
      <c r="D120" s="110"/>
      <c r="E120" s="110"/>
      <c r="F120" s="110"/>
      <c r="G120" s="110"/>
      <c r="H120" s="111"/>
      <c r="I120"/>
      <c r="J120"/>
      <c r="K120"/>
    </row>
    <row r="121" spans="1:11" ht="15" thickBot="1" x14ac:dyDescent="0.35">
      <c r="A121" s="123"/>
      <c r="B121" s="124"/>
      <c r="C121" s="124"/>
      <c r="D121" s="124"/>
      <c r="E121" s="124"/>
      <c r="F121" s="124"/>
      <c r="G121" s="124"/>
      <c r="H121" s="125"/>
      <c r="I121"/>
      <c r="J121"/>
      <c r="K121"/>
    </row>
    <row r="122" spans="1:11" ht="47.4" thickBot="1" x14ac:dyDescent="0.35">
      <c r="A122" s="1" t="s">
        <v>1</v>
      </c>
      <c r="B122" s="1" t="s">
        <v>2</v>
      </c>
      <c r="C122" s="1" t="s">
        <v>3</v>
      </c>
      <c r="D122" s="1" t="s">
        <v>4</v>
      </c>
      <c r="E122" s="1" t="s">
        <v>5</v>
      </c>
      <c r="F122" s="1" t="s">
        <v>6</v>
      </c>
      <c r="G122" s="77" t="s">
        <v>7</v>
      </c>
      <c r="H122" s="2" t="s">
        <v>8</v>
      </c>
      <c r="I122"/>
      <c r="J122"/>
      <c r="K122"/>
    </row>
    <row r="123" spans="1:11" x14ac:dyDescent="0.3">
      <c r="A123" s="78"/>
      <c r="B123" s="79"/>
      <c r="C123" s="79"/>
      <c r="D123" s="79"/>
      <c r="E123" s="79"/>
      <c r="F123" s="79"/>
      <c r="G123" s="80"/>
      <c r="H123" s="56"/>
      <c r="I123"/>
      <c r="J123"/>
      <c r="K123"/>
    </row>
    <row r="124" spans="1:11" x14ac:dyDescent="0.3">
      <c r="A124" s="34">
        <v>45849</v>
      </c>
      <c r="B124" s="19">
        <v>18840</v>
      </c>
      <c r="C124" s="19">
        <v>120000</v>
      </c>
      <c r="D124" s="19">
        <v>4000</v>
      </c>
      <c r="E124" s="19">
        <v>41709</v>
      </c>
      <c r="F124" s="81">
        <v>46156</v>
      </c>
      <c r="G124" s="82">
        <f>C124-D124</f>
        <v>116000</v>
      </c>
      <c r="H124" s="15"/>
      <c r="I124"/>
      <c r="J124"/>
      <c r="K124"/>
    </row>
    <row r="125" spans="1:11" x14ac:dyDescent="0.3">
      <c r="A125" s="23"/>
      <c r="B125" s="19"/>
      <c r="C125" s="19"/>
      <c r="D125" s="19">
        <v>25000</v>
      </c>
      <c r="E125" s="19">
        <v>41711</v>
      </c>
      <c r="F125" s="81">
        <v>46156</v>
      </c>
      <c r="G125" s="82">
        <f>G124-D125</f>
        <v>91000</v>
      </c>
      <c r="H125" s="15" t="s">
        <v>46</v>
      </c>
      <c r="I125"/>
      <c r="J125"/>
      <c r="K125"/>
    </row>
    <row r="126" spans="1:11" x14ac:dyDescent="0.3">
      <c r="A126" s="78"/>
      <c r="B126" s="79"/>
      <c r="C126" s="79"/>
      <c r="D126" s="79"/>
      <c r="E126" s="79"/>
      <c r="F126" s="83"/>
      <c r="G126" s="80"/>
      <c r="H126" s="56"/>
      <c r="I126"/>
      <c r="J126"/>
      <c r="K126"/>
    </row>
    <row r="127" spans="1:11" x14ac:dyDescent="0.3">
      <c r="A127" s="34">
        <v>46126</v>
      </c>
      <c r="B127" s="19" t="s">
        <v>47</v>
      </c>
      <c r="C127" s="19">
        <v>50000</v>
      </c>
      <c r="D127" s="19">
        <v>50000</v>
      </c>
      <c r="E127" s="19">
        <v>41730</v>
      </c>
      <c r="F127" s="81">
        <v>46177</v>
      </c>
      <c r="G127" s="82">
        <f>C127-D127</f>
        <v>0</v>
      </c>
      <c r="H127" s="15" t="s">
        <v>11</v>
      </c>
      <c r="I127"/>
      <c r="J127"/>
      <c r="K127"/>
    </row>
    <row r="128" spans="1:11" x14ac:dyDescent="0.3">
      <c r="A128" s="78"/>
      <c r="B128" s="79"/>
      <c r="C128" s="79"/>
      <c r="D128" s="79"/>
      <c r="E128" s="79"/>
      <c r="F128" s="83"/>
      <c r="G128" s="80"/>
      <c r="H128" s="56"/>
      <c r="I128"/>
      <c r="J128"/>
      <c r="K128"/>
    </row>
    <row r="129" spans="1:11" x14ac:dyDescent="0.3">
      <c r="A129" s="23"/>
      <c r="B129" s="19" t="s">
        <v>48</v>
      </c>
      <c r="C129" s="19">
        <v>35000</v>
      </c>
      <c r="D129" s="19">
        <v>20000</v>
      </c>
      <c r="E129" s="19">
        <v>41731</v>
      </c>
      <c r="F129" s="81">
        <v>46177</v>
      </c>
      <c r="G129" s="82">
        <f>C129-D129</f>
        <v>15000</v>
      </c>
      <c r="H129" s="22" t="s">
        <v>41</v>
      </c>
      <c r="I129"/>
      <c r="J129"/>
      <c r="K129"/>
    </row>
    <row r="130" spans="1:11" x14ac:dyDescent="0.3">
      <c r="A130" s="78"/>
      <c r="B130" s="79"/>
      <c r="C130" s="79"/>
      <c r="D130" s="79"/>
      <c r="E130" s="79"/>
      <c r="F130" s="79"/>
      <c r="G130" s="80"/>
      <c r="H130" s="56"/>
      <c r="I130"/>
      <c r="J130"/>
      <c r="K130"/>
    </row>
    <row r="131" spans="1:11" ht="16.2" thickBot="1" x14ac:dyDescent="0.35">
      <c r="A131" s="57"/>
      <c r="B131" s="58"/>
      <c r="C131" s="58"/>
      <c r="D131" s="58"/>
      <c r="E131" s="132" t="s">
        <v>23</v>
      </c>
      <c r="F131" s="132"/>
      <c r="G131" s="84">
        <f>G125+G129</f>
        <v>106000</v>
      </c>
      <c r="H131" s="28"/>
      <c r="I131"/>
      <c r="J131"/>
      <c r="K131"/>
    </row>
    <row r="132" spans="1:11" ht="15" thickBot="1" x14ac:dyDescent="0.35">
      <c r="I132"/>
      <c r="J132"/>
      <c r="K132"/>
    </row>
    <row r="133" spans="1:11" x14ac:dyDescent="0.3">
      <c r="A133" s="109" t="s">
        <v>49</v>
      </c>
      <c r="B133" s="110"/>
      <c r="C133" s="110"/>
      <c r="D133" s="110"/>
      <c r="E133" s="110"/>
      <c r="F133" s="110"/>
      <c r="G133" s="110"/>
      <c r="H133" s="111"/>
      <c r="I133"/>
      <c r="J133"/>
      <c r="K133"/>
    </row>
    <row r="134" spans="1:11" ht="15" thickBot="1" x14ac:dyDescent="0.35">
      <c r="A134" s="123"/>
      <c r="B134" s="124"/>
      <c r="C134" s="124"/>
      <c r="D134" s="124"/>
      <c r="E134" s="124"/>
      <c r="F134" s="124"/>
      <c r="G134" s="124"/>
      <c r="H134" s="125"/>
      <c r="I134"/>
      <c r="J134"/>
      <c r="K134"/>
    </row>
    <row r="135" spans="1:11" ht="47.4" thickBot="1" x14ac:dyDescent="0.35">
      <c r="A135" s="29" t="s">
        <v>1</v>
      </c>
      <c r="B135" s="29" t="s">
        <v>2</v>
      </c>
      <c r="C135" s="29" t="s">
        <v>3</v>
      </c>
      <c r="D135" s="29" t="s">
        <v>4</v>
      </c>
      <c r="E135" s="29" t="s">
        <v>5</v>
      </c>
      <c r="F135" s="29" t="s">
        <v>6</v>
      </c>
      <c r="G135" s="29" t="s">
        <v>7</v>
      </c>
      <c r="H135" s="31" t="s">
        <v>8</v>
      </c>
      <c r="I135"/>
      <c r="J135"/>
      <c r="K135"/>
    </row>
    <row r="136" spans="1:11" x14ac:dyDescent="0.3">
      <c r="A136" s="12">
        <v>45702</v>
      </c>
      <c r="B136">
        <v>16901</v>
      </c>
      <c r="C136">
        <v>50000</v>
      </c>
      <c r="D136">
        <v>33600</v>
      </c>
      <c r="F136" s="13">
        <v>45936</v>
      </c>
      <c r="G136">
        <f>C136-D136</f>
        <v>16400</v>
      </c>
      <c r="H136" s="15"/>
      <c r="I136"/>
      <c r="J136"/>
      <c r="K136"/>
    </row>
    <row r="137" spans="1:11" x14ac:dyDescent="0.3">
      <c r="A137" s="43"/>
      <c r="D137">
        <v>15300</v>
      </c>
      <c r="E137">
        <v>41410</v>
      </c>
      <c r="F137" s="13">
        <v>45937</v>
      </c>
      <c r="G137">
        <f>G136-D137</f>
        <v>1100</v>
      </c>
      <c r="H137" s="15" t="s">
        <v>11</v>
      </c>
      <c r="I137"/>
      <c r="J137"/>
      <c r="K137"/>
    </row>
    <row r="138" spans="1:11" x14ac:dyDescent="0.3">
      <c r="A138" s="43"/>
      <c r="F138" s="13"/>
      <c r="H138" s="15"/>
      <c r="I138"/>
      <c r="J138"/>
      <c r="K138"/>
    </row>
    <row r="139" spans="1:11" ht="28.8" x14ac:dyDescent="0.3">
      <c r="A139" s="12">
        <v>45868</v>
      </c>
      <c r="B139">
        <v>18546</v>
      </c>
      <c r="C139">
        <v>50000</v>
      </c>
      <c r="D139">
        <v>50100</v>
      </c>
      <c r="E139">
        <v>41603</v>
      </c>
      <c r="F139" s="13">
        <v>46079</v>
      </c>
      <c r="G139">
        <f>C139-D139</f>
        <v>-100</v>
      </c>
      <c r="H139" s="22" t="s">
        <v>14</v>
      </c>
      <c r="I139"/>
      <c r="J139"/>
      <c r="K139"/>
    </row>
    <row r="140" spans="1:11" x14ac:dyDescent="0.3">
      <c r="A140" s="40"/>
      <c r="B140" s="5"/>
      <c r="C140" s="5"/>
      <c r="D140" s="5"/>
      <c r="E140" s="5"/>
      <c r="F140" s="5"/>
      <c r="G140" s="5"/>
      <c r="H140" s="8"/>
      <c r="I140"/>
      <c r="J140"/>
      <c r="K140"/>
    </row>
    <row r="141" spans="1:11" x14ac:dyDescent="0.3">
      <c r="A141" s="12">
        <v>45946</v>
      </c>
      <c r="B141">
        <v>19399</v>
      </c>
      <c r="C141">
        <v>50000</v>
      </c>
      <c r="D141">
        <v>5400</v>
      </c>
      <c r="E141">
        <v>41609</v>
      </c>
      <c r="F141" s="13">
        <v>46086</v>
      </c>
      <c r="G141">
        <f>C141-D141</f>
        <v>44600</v>
      </c>
      <c r="H141" s="15"/>
      <c r="I141"/>
      <c r="J141"/>
      <c r="K141"/>
    </row>
    <row r="142" spans="1:11" x14ac:dyDescent="0.3">
      <c r="A142" s="43"/>
      <c r="D142">
        <v>300</v>
      </c>
      <c r="E142">
        <v>41612</v>
      </c>
      <c r="F142" s="13">
        <v>46086</v>
      </c>
      <c r="G142">
        <f>G141-D142</f>
        <v>44300</v>
      </c>
      <c r="H142" s="15"/>
      <c r="I142"/>
      <c r="J142"/>
      <c r="K142"/>
    </row>
    <row r="143" spans="1:11" x14ac:dyDescent="0.3">
      <c r="A143" s="43"/>
      <c r="D143">
        <v>41100</v>
      </c>
      <c r="E143">
        <v>41657</v>
      </c>
      <c r="F143" s="13">
        <v>46182</v>
      </c>
      <c r="G143">
        <f>G142-D143</f>
        <v>3200</v>
      </c>
      <c r="H143" s="15" t="s">
        <v>11</v>
      </c>
      <c r="I143"/>
      <c r="J143"/>
      <c r="K143"/>
    </row>
    <row r="144" spans="1:11" ht="16.2" thickBot="1" x14ac:dyDescent="0.35">
      <c r="A144" s="24"/>
      <c r="B144" s="25"/>
      <c r="C144" s="25"/>
      <c r="D144" s="25"/>
      <c r="E144" s="112" t="s">
        <v>23</v>
      </c>
      <c r="F144" s="112"/>
      <c r="G144" s="70">
        <v>0</v>
      </c>
      <c r="H144" s="28"/>
      <c r="I144"/>
      <c r="J144"/>
      <c r="K144"/>
    </row>
    <row r="145" spans="1:11" ht="15" thickBot="1" x14ac:dyDescent="0.35">
      <c r="I145"/>
      <c r="J145"/>
      <c r="K145"/>
    </row>
    <row r="146" spans="1:11" x14ac:dyDescent="0.3">
      <c r="A146" s="109" t="s">
        <v>50</v>
      </c>
      <c r="B146" s="110"/>
      <c r="C146" s="110"/>
      <c r="D146" s="110"/>
      <c r="E146" s="110"/>
      <c r="F146" s="110"/>
      <c r="G146" s="110"/>
      <c r="H146" s="111"/>
      <c r="I146"/>
      <c r="J146"/>
      <c r="K146"/>
    </row>
    <row r="147" spans="1:11" ht="15" thickBot="1" x14ac:dyDescent="0.35">
      <c r="A147" s="123"/>
      <c r="B147" s="124"/>
      <c r="C147" s="124"/>
      <c r="D147" s="124"/>
      <c r="E147" s="124"/>
      <c r="F147" s="124"/>
      <c r="G147" s="124"/>
      <c r="H147" s="125"/>
      <c r="I147"/>
      <c r="J147"/>
      <c r="K147"/>
    </row>
    <row r="148" spans="1:11" ht="47.4" thickBot="1" x14ac:dyDescent="0.35">
      <c r="A148" s="1" t="s">
        <v>1</v>
      </c>
      <c r="B148" s="1" t="s">
        <v>2</v>
      </c>
      <c r="C148" s="1" t="s">
        <v>3</v>
      </c>
      <c r="D148" s="1" t="s">
        <v>4</v>
      </c>
      <c r="E148" s="1" t="s">
        <v>5</v>
      </c>
      <c r="F148" s="1" t="s">
        <v>6</v>
      </c>
      <c r="G148" s="1" t="s">
        <v>7</v>
      </c>
      <c r="H148" s="2" t="s">
        <v>8</v>
      </c>
      <c r="I148"/>
      <c r="J148"/>
      <c r="K148"/>
    </row>
    <row r="149" spans="1:11" x14ac:dyDescent="0.3">
      <c r="A149" s="12">
        <v>45931</v>
      </c>
      <c r="B149">
        <v>19200</v>
      </c>
      <c r="C149">
        <v>50000</v>
      </c>
      <c r="D149">
        <v>19200</v>
      </c>
      <c r="E149">
        <v>41438</v>
      </c>
      <c r="F149" s="13">
        <v>45965</v>
      </c>
      <c r="G149">
        <f>C149-D149</f>
        <v>30800</v>
      </c>
      <c r="H149" s="15"/>
      <c r="I149"/>
      <c r="J149"/>
      <c r="K149"/>
    </row>
    <row r="150" spans="1:11" ht="17.399999999999999" customHeight="1" thickBot="1" x14ac:dyDescent="0.35">
      <c r="A150" s="12"/>
      <c r="D150">
        <v>27600</v>
      </c>
      <c r="E150" s="11">
        <v>41643</v>
      </c>
      <c r="F150" s="13">
        <v>46107</v>
      </c>
      <c r="G150">
        <f>G149-D150</f>
        <v>3200</v>
      </c>
      <c r="H150" s="28" t="s">
        <v>11</v>
      </c>
      <c r="I150"/>
      <c r="J150"/>
      <c r="K150"/>
    </row>
    <row r="151" spans="1:11" ht="18" customHeight="1" x14ac:dyDescent="0.3">
      <c r="A151" s="40"/>
      <c r="B151" s="5"/>
      <c r="C151" s="5"/>
      <c r="D151" s="5"/>
      <c r="E151" s="5"/>
      <c r="F151" s="6"/>
      <c r="G151" s="5"/>
      <c r="H151" s="8"/>
      <c r="I151"/>
      <c r="J151"/>
      <c r="K151"/>
    </row>
    <row r="152" spans="1:11" ht="16.2" thickBot="1" x14ac:dyDescent="0.35">
      <c r="A152" s="24"/>
      <c r="B152" s="25"/>
      <c r="C152" s="25"/>
      <c r="D152" s="25"/>
      <c r="E152" s="59" t="s">
        <v>23</v>
      </c>
      <c r="F152" s="59"/>
      <c r="G152" s="70">
        <v>0</v>
      </c>
      <c r="H152" s="28"/>
      <c r="I152"/>
      <c r="J152"/>
      <c r="K152"/>
    </row>
    <row r="153" spans="1:11" ht="16.2" thickBot="1" x14ac:dyDescent="0.35">
      <c r="E153" s="16"/>
      <c r="F153" s="16"/>
      <c r="G153" s="85"/>
      <c r="I153"/>
      <c r="J153"/>
      <c r="K153"/>
    </row>
    <row r="154" spans="1:11" x14ac:dyDescent="0.3">
      <c r="A154" s="109" t="s">
        <v>51</v>
      </c>
      <c r="B154" s="110"/>
      <c r="C154" s="110"/>
      <c r="D154" s="110"/>
      <c r="E154" s="110"/>
      <c r="F154" s="110"/>
      <c r="G154" s="110"/>
      <c r="H154" s="111"/>
      <c r="I154"/>
      <c r="J154"/>
      <c r="K154"/>
    </row>
    <row r="155" spans="1:11" ht="15" thickBot="1" x14ac:dyDescent="0.35">
      <c r="A155" s="123"/>
      <c r="B155" s="124"/>
      <c r="C155" s="124"/>
      <c r="D155" s="124"/>
      <c r="E155" s="124"/>
      <c r="F155" s="124"/>
      <c r="G155" s="124"/>
      <c r="H155" s="125"/>
      <c r="I155"/>
      <c r="J155"/>
      <c r="K155"/>
    </row>
    <row r="156" spans="1:11" ht="47.4" thickBot="1" x14ac:dyDescent="0.35">
      <c r="A156" s="1" t="s">
        <v>1</v>
      </c>
      <c r="B156" s="1" t="s">
        <v>2</v>
      </c>
      <c r="C156" s="1" t="s">
        <v>3</v>
      </c>
      <c r="D156" s="1" t="s">
        <v>4</v>
      </c>
      <c r="E156" s="1" t="s">
        <v>5</v>
      </c>
      <c r="F156" s="1" t="s">
        <v>6</v>
      </c>
      <c r="G156" s="1" t="s">
        <v>7</v>
      </c>
      <c r="H156" s="2" t="s">
        <v>8</v>
      </c>
      <c r="I156"/>
      <c r="J156"/>
      <c r="K156"/>
    </row>
    <row r="157" spans="1:11" x14ac:dyDescent="0.3">
      <c r="A157" s="12">
        <v>45930</v>
      </c>
      <c r="B157">
        <v>19198</v>
      </c>
      <c r="C157">
        <v>50000</v>
      </c>
      <c r="D157">
        <v>20700</v>
      </c>
      <c r="E157">
        <v>41439</v>
      </c>
      <c r="F157" s="13">
        <v>45954</v>
      </c>
      <c r="G157">
        <f>C157-D157</f>
        <v>29300</v>
      </c>
      <c r="H157" s="15"/>
      <c r="I157"/>
      <c r="J157"/>
      <c r="K157"/>
    </row>
    <row r="158" spans="1:11" x14ac:dyDescent="0.3">
      <c r="A158" s="12"/>
      <c r="D158">
        <v>27300</v>
      </c>
      <c r="E158" s="11">
        <v>41644</v>
      </c>
      <c r="F158" s="13">
        <v>46107</v>
      </c>
      <c r="G158">
        <f>G157-D158</f>
        <v>2000</v>
      </c>
      <c r="H158" s="15" t="s">
        <v>11</v>
      </c>
      <c r="I158"/>
      <c r="J158"/>
      <c r="K158"/>
    </row>
    <row r="159" spans="1:11" x14ac:dyDescent="0.3">
      <c r="A159" s="40"/>
      <c r="B159" s="5"/>
      <c r="C159" s="5"/>
      <c r="D159" s="5"/>
      <c r="E159" s="5"/>
      <c r="F159" s="6"/>
      <c r="G159" s="5"/>
      <c r="H159" s="8"/>
      <c r="I159"/>
      <c r="J159"/>
      <c r="K159"/>
    </row>
    <row r="160" spans="1:11" ht="16.2" thickBot="1" x14ac:dyDescent="0.35">
      <c r="A160" s="24"/>
      <c r="B160" s="25"/>
      <c r="C160" s="25"/>
      <c r="D160" s="25"/>
      <c r="E160" s="112" t="s">
        <v>23</v>
      </c>
      <c r="F160" s="112"/>
      <c r="G160" s="70">
        <v>0</v>
      </c>
      <c r="H160" s="28"/>
      <c r="I160"/>
      <c r="J160"/>
      <c r="K160"/>
    </row>
    <row r="161" spans="1:11" ht="16.2" thickBot="1" x14ac:dyDescent="0.35">
      <c r="A161" s="43"/>
      <c r="E161" s="16"/>
      <c r="F161" s="16"/>
      <c r="G161" s="85"/>
      <c r="H161" s="15"/>
      <c r="I161"/>
      <c r="J161"/>
      <c r="K161"/>
    </row>
    <row r="162" spans="1:11" x14ac:dyDescent="0.3">
      <c r="A162" s="109" t="s">
        <v>52</v>
      </c>
      <c r="B162" s="110"/>
      <c r="C162" s="110"/>
      <c r="D162" s="110"/>
      <c r="E162" s="110"/>
      <c r="F162" s="110"/>
      <c r="G162" s="110"/>
      <c r="H162" s="111"/>
      <c r="I162"/>
      <c r="J162"/>
      <c r="K162"/>
    </row>
    <row r="163" spans="1:11" ht="15" thickBot="1" x14ac:dyDescent="0.35">
      <c r="A163" s="123"/>
      <c r="B163" s="124"/>
      <c r="C163" s="124"/>
      <c r="D163" s="124"/>
      <c r="E163" s="124"/>
      <c r="F163" s="124"/>
      <c r="G163" s="124"/>
      <c r="H163" s="125"/>
      <c r="I163"/>
      <c r="J163"/>
      <c r="K163"/>
    </row>
    <row r="164" spans="1:11" ht="47.4" thickBot="1" x14ac:dyDescent="0.35">
      <c r="A164" s="29" t="s">
        <v>1</v>
      </c>
      <c r="B164" s="29" t="s">
        <v>2</v>
      </c>
      <c r="C164" s="29" t="s">
        <v>3</v>
      </c>
      <c r="D164" s="29" t="s">
        <v>4</v>
      </c>
      <c r="E164" s="29" t="s">
        <v>5</v>
      </c>
      <c r="F164" s="29" t="s">
        <v>6</v>
      </c>
      <c r="G164" s="29" t="s">
        <v>7</v>
      </c>
      <c r="H164" s="31" t="s">
        <v>8</v>
      </c>
      <c r="I164"/>
      <c r="J164"/>
      <c r="K164"/>
    </row>
    <row r="165" spans="1:11" x14ac:dyDescent="0.3">
      <c r="A165" s="12">
        <v>45931</v>
      </c>
      <c r="B165">
        <v>19203</v>
      </c>
      <c r="C165">
        <v>50000</v>
      </c>
      <c r="D165">
        <v>35400</v>
      </c>
      <c r="E165">
        <v>41464</v>
      </c>
      <c r="F165" s="13">
        <v>45972</v>
      </c>
      <c r="G165">
        <f>C165-D165</f>
        <v>14600</v>
      </c>
      <c r="H165" s="15"/>
      <c r="I165"/>
      <c r="J165"/>
      <c r="K165"/>
    </row>
    <row r="166" spans="1:11" x14ac:dyDescent="0.3">
      <c r="A166" s="12"/>
      <c r="D166">
        <v>14600</v>
      </c>
      <c r="E166">
        <v>41564</v>
      </c>
      <c r="F166" s="13">
        <v>46066</v>
      </c>
      <c r="G166">
        <f>G165-D166</f>
        <v>0</v>
      </c>
      <c r="H166" s="15"/>
      <c r="I166"/>
      <c r="J166"/>
      <c r="K166"/>
    </row>
    <row r="167" spans="1:11" x14ac:dyDescent="0.3">
      <c r="A167" s="12"/>
      <c r="D167">
        <v>1000</v>
      </c>
      <c r="E167">
        <v>41565</v>
      </c>
      <c r="F167" s="13">
        <v>46066</v>
      </c>
      <c r="G167">
        <f>G166-D167</f>
        <v>-1000</v>
      </c>
      <c r="H167" s="15" t="s">
        <v>53</v>
      </c>
      <c r="I167"/>
      <c r="J167"/>
      <c r="K167"/>
    </row>
    <row r="168" spans="1:11" x14ac:dyDescent="0.3">
      <c r="A168" s="43"/>
      <c r="F168" s="13"/>
      <c r="H168" s="15"/>
      <c r="I168"/>
      <c r="J168"/>
      <c r="K168"/>
    </row>
    <row r="169" spans="1:11" ht="16.2" thickBot="1" x14ac:dyDescent="0.35">
      <c r="A169" s="24"/>
      <c r="B169" s="25"/>
      <c r="C169" s="25"/>
      <c r="D169" s="25"/>
      <c r="E169" s="59" t="s">
        <v>23</v>
      </c>
      <c r="F169" s="59"/>
      <c r="G169" s="70">
        <v>-1000</v>
      </c>
      <c r="H169" s="86" t="s">
        <v>53</v>
      </c>
      <c r="I169"/>
      <c r="J169"/>
      <c r="K169"/>
    </row>
    <row r="170" spans="1:11" ht="15" thickBot="1" x14ac:dyDescent="0.35">
      <c r="I170"/>
      <c r="J170"/>
      <c r="K170"/>
    </row>
    <row r="171" spans="1:11" x14ac:dyDescent="0.3">
      <c r="A171" s="109" t="s">
        <v>54</v>
      </c>
      <c r="B171" s="110"/>
      <c r="C171" s="110"/>
      <c r="D171" s="110"/>
      <c r="E171" s="110"/>
      <c r="F171" s="110"/>
      <c r="G171" s="110"/>
      <c r="H171" s="111"/>
      <c r="I171"/>
      <c r="J171"/>
      <c r="K171"/>
    </row>
    <row r="172" spans="1:11" ht="15" thickBot="1" x14ac:dyDescent="0.35">
      <c r="A172" s="123"/>
      <c r="B172" s="124"/>
      <c r="C172" s="124"/>
      <c r="D172" s="124"/>
      <c r="E172" s="124"/>
      <c r="F172" s="124"/>
      <c r="G172" s="124"/>
      <c r="H172" s="125"/>
      <c r="I172"/>
      <c r="J172"/>
      <c r="K172"/>
    </row>
    <row r="173" spans="1:11" ht="47.4" thickBot="1" x14ac:dyDescent="0.35">
      <c r="A173" s="29" t="s">
        <v>1</v>
      </c>
      <c r="B173" s="29" t="s">
        <v>2</v>
      </c>
      <c r="C173" s="29" t="s">
        <v>3</v>
      </c>
      <c r="D173" s="29" t="s">
        <v>4</v>
      </c>
      <c r="E173" s="29" t="s">
        <v>5</v>
      </c>
      <c r="F173" s="29" t="s">
        <v>6</v>
      </c>
      <c r="G173" s="29" t="s">
        <v>7</v>
      </c>
      <c r="H173" s="31" t="s">
        <v>8</v>
      </c>
      <c r="I173"/>
      <c r="J173"/>
      <c r="K173"/>
    </row>
    <row r="174" spans="1:11" x14ac:dyDescent="0.3">
      <c r="A174" s="12">
        <v>45930</v>
      </c>
      <c r="B174">
        <v>19201</v>
      </c>
      <c r="C174">
        <v>50000</v>
      </c>
      <c r="D174">
        <v>40800</v>
      </c>
      <c r="E174">
        <v>41447</v>
      </c>
      <c r="F174" s="13">
        <v>45959</v>
      </c>
      <c r="G174">
        <f>C174-D174</f>
        <v>9200</v>
      </c>
      <c r="H174" s="15" t="s">
        <v>11</v>
      </c>
      <c r="I174"/>
      <c r="J174"/>
      <c r="K174"/>
    </row>
    <row r="175" spans="1:11" x14ac:dyDescent="0.3">
      <c r="A175" s="43"/>
      <c r="F175" s="13"/>
      <c r="H175" s="15"/>
      <c r="I175"/>
      <c r="J175"/>
      <c r="K175"/>
    </row>
    <row r="176" spans="1:11" ht="16.2" thickBot="1" x14ac:dyDescent="0.35">
      <c r="A176" s="24"/>
      <c r="B176" s="25"/>
      <c r="C176" s="25"/>
      <c r="D176" s="25"/>
      <c r="E176" s="112" t="s">
        <v>23</v>
      </c>
      <c r="F176" s="112"/>
      <c r="G176" s="70">
        <v>0</v>
      </c>
      <c r="H176" s="28"/>
      <c r="I176"/>
      <c r="J176"/>
      <c r="K176"/>
    </row>
    <row r="177" spans="1:11" ht="15" thickBot="1" x14ac:dyDescent="0.35">
      <c r="I177"/>
      <c r="J177"/>
      <c r="K177"/>
    </row>
    <row r="178" spans="1:11" x14ac:dyDescent="0.3">
      <c r="A178" s="109" t="s">
        <v>55</v>
      </c>
      <c r="B178" s="110"/>
      <c r="C178" s="110"/>
      <c r="D178" s="110"/>
      <c r="E178" s="110"/>
      <c r="F178" s="110"/>
      <c r="G178" s="110"/>
      <c r="H178" s="111"/>
      <c r="I178"/>
      <c r="J178"/>
      <c r="K178"/>
    </row>
    <row r="179" spans="1:11" ht="15" thickBot="1" x14ac:dyDescent="0.35">
      <c r="A179" s="123"/>
      <c r="B179" s="124"/>
      <c r="C179" s="124"/>
      <c r="D179" s="124"/>
      <c r="E179" s="124"/>
      <c r="F179" s="124"/>
      <c r="G179" s="124"/>
      <c r="H179" s="125"/>
      <c r="I179"/>
      <c r="J179"/>
      <c r="K179"/>
    </row>
    <row r="180" spans="1:11" ht="15" customHeight="1" thickBot="1" x14ac:dyDescent="0.35">
      <c r="A180" s="1" t="s">
        <v>1</v>
      </c>
      <c r="B180" s="1" t="s">
        <v>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2" t="s">
        <v>8</v>
      </c>
      <c r="I180"/>
      <c r="J180"/>
      <c r="K180"/>
    </row>
    <row r="181" spans="1:11" x14ac:dyDescent="0.3">
      <c r="A181" s="12">
        <v>45930</v>
      </c>
      <c r="B181">
        <v>19199</v>
      </c>
      <c r="C181">
        <v>50000</v>
      </c>
      <c r="D181">
        <v>40800</v>
      </c>
      <c r="E181">
        <v>41454</v>
      </c>
      <c r="F181" s="13">
        <v>45965</v>
      </c>
      <c r="G181">
        <f>C181-D181</f>
        <v>9200</v>
      </c>
      <c r="H181" s="15" t="s">
        <v>11</v>
      </c>
      <c r="I181"/>
      <c r="J181"/>
      <c r="K181"/>
    </row>
    <row r="182" spans="1:11" x14ac:dyDescent="0.3">
      <c r="A182" s="43"/>
      <c r="F182" s="13"/>
      <c r="H182" s="15"/>
      <c r="I182"/>
      <c r="J182"/>
      <c r="K182"/>
    </row>
    <row r="183" spans="1:11" ht="16.2" thickBot="1" x14ac:dyDescent="0.35">
      <c r="A183" s="24"/>
      <c r="B183" s="25"/>
      <c r="C183" s="25"/>
      <c r="D183" s="25"/>
      <c r="E183" s="112" t="s">
        <v>23</v>
      </c>
      <c r="F183" s="112"/>
      <c r="G183" s="70">
        <v>0</v>
      </c>
      <c r="H183" s="28"/>
      <c r="I183"/>
      <c r="J183"/>
      <c r="K183"/>
    </row>
    <row r="184" spans="1:11" ht="15" thickBot="1" x14ac:dyDescent="0.35">
      <c r="I184"/>
      <c r="J184"/>
      <c r="K184"/>
    </row>
    <row r="185" spans="1:11" x14ac:dyDescent="0.3">
      <c r="A185" s="109" t="s">
        <v>56</v>
      </c>
      <c r="B185" s="110"/>
      <c r="C185" s="110"/>
      <c r="D185" s="110"/>
      <c r="E185" s="110"/>
      <c r="F185" s="110"/>
      <c r="G185" s="110"/>
      <c r="H185" s="111"/>
      <c r="I185"/>
      <c r="J185"/>
      <c r="K185"/>
    </row>
    <row r="186" spans="1:11" ht="15" thickBot="1" x14ac:dyDescent="0.35">
      <c r="A186" s="123"/>
      <c r="B186" s="124"/>
      <c r="C186" s="124"/>
      <c r="D186" s="124"/>
      <c r="E186" s="124"/>
      <c r="F186" s="124"/>
      <c r="G186" s="124"/>
      <c r="H186" s="125"/>
      <c r="I186"/>
      <c r="J186"/>
      <c r="K186"/>
    </row>
    <row r="187" spans="1:11" ht="47.4" thickBot="1" x14ac:dyDescent="0.35">
      <c r="A187" s="1" t="s">
        <v>1</v>
      </c>
      <c r="B187" s="1" t="s">
        <v>2</v>
      </c>
      <c r="C187" s="1" t="s">
        <v>3</v>
      </c>
      <c r="D187" s="1" t="s">
        <v>4</v>
      </c>
      <c r="E187" s="1" t="s">
        <v>5</v>
      </c>
      <c r="F187" s="1" t="s">
        <v>6</v>
      </c>
      <c r="G187" s="1" t="s">
        <v>7</v>
      </c>
      <c r="H187" s="2" t="s">
        <v>8</v>
      </c>
      <c r="I187"/>
      <c r="J187"/>
      <c r="K187"/>
    </row>
    <row r="188" spans="1:11" x14ac:dyDescent="0.3">
      <c r="A188" s="12">
        <v>45931</v>
      </c>
      <c r="B188">
        <v>19203</v>
      </c>
      <c r="C188">
        <v>50000</v>
      </c>
      <c r="D188">
        <v>10800</v>
      </c>
      <c r="E188">
        <v>41559</v>
      </c>
      <c r="F188" s="13">
        <v>46049</v>
      </c>
      <c r="G188">
        <f>C188-D188</f>
        <v>39200</v>
      </c>
      <c r="H188" s="15" t="s">
        <v>46</v>
      </c>
      <c r="I188"/>
      <c r="J188"/>
      <c r="K188"/>
    </row>
    <row r="189" spans="1:11" x14ac:dyDescent="0.3">
      <c r="A189" s="12"/>
      <c r="D189">
        <v>33900</v>
      </c>
      <c r="E189">
        <v>41583</v>
      </c>
      <c r="F189" s="13">
        <v>46051</v>
      </c>
      <c r="G189">
        <f>G188-D189</f>
        <v>5300</v>
      </c>
      <c r="H189" s="15" t="s">
        <v>11</v>
      </c>
      <c r="I189"/>
      <c r="J189"/>
      <c r="K189"/>
    </row>
    <row r="190" spans="1:11" x14ac:dyDescent="0.3">
      <c r="A190" s="12"/>
      <c r="F190" s="13"/>
      <c r="H190" s="15"/>
      <c r="I190"/>
      <c r="J190"/>
      <c r="K190"/>
    </row>
    <row r="191" spans="1:11" x14ac:dyDescent="0.3">
      <c r="A191" s="43"/>
      <c r="F191" s="13"/>
      <c r="H191" s="15"/>
      <c r="I191"/>
      <c r="J191"/>
      <c r="K191"/>
    </row>
    <row r="192" spans="1:11" ht="16.2" thickBot="1" x14ac:dyDescent="0.35">
      <c r="A192" s="24"/>
      <c r="B192" s="25"/>
      <c r="C192" s="25"/>
      <c r="D192" s="25"/>
      <c r="E192" s="112" t="s">
        <v>23</v>
      </c>
      <c r="F192" s="112"/>
      <c r="G192" s="70">
        <v>5300</v>
      </c>
      <c r="H192" s="28" t="s">
        <v>11</v>
      </c>
      <c r="I192"/>
      <c r="J192"/>
      <c r="K192"/>
    </row>
    <row r="193" spans="1:11" ht="15" thickBot="1" x14ac:dyDescent="0.35">
      <c r="I193"/>
      <c r="J193"/>
      <c r="K193"/>
    </row>
    <row r="194" spans="1:11" x14ac:dyDescent="0.3">
      <c r="A194" s="109" t="s">
        <v>57</v>
      </c>
      <c r="B194" s="110"/>
      <c r="C194" s="110"/>
      <c r="D194" s="110"/>
      <c r="E194" s="110"/>
      <c r="F194" s="110"/>
      <c r="G194" s="110"/>
      <c r="H194" s="111"/>
      <c r="I194"/>
      <c r="J194"/>
      <c r="K194"/>
    </row>
    <row r="195" spans="1:11" ht="14.4" customHeight="1" thickBot="1" x14ac:dyDescent="0.35">
      <c r="A195" s="123"/>
      <c r="B195" s="124"/>
      <c r="C195" s="124"/>
      <c r="D195" s="124"/>
      <c r="E195" s="124"/>
      <c r="F195" s="124"/>
      <c r="G195" s="124"/>
      <c r="H195" s="125"/>
      <c r="I195"/>
      <c r="J195"/>
      <c r="K195"/>
    </row>
    <row r="196" spans="1:11" ht="15" customHeight="1" thickBot="1" x14ac:dyDescent="0.35">
      <c r="A196" s="29" t="s">
        <v>1</v>
      </c>
      <c r="B196" s="29" t="s">
        <v>2</v>
      </c>
      <c r="C196" s="29" t="s">
        <v>3</v>
      </c>
      <c r="D196" s="29" t="s">
        <v>4</v>
      </c>
      <c r="E196" s="29" t="s">
        <v>5</v>
      </c>
      <c r="F196" s="29" t="s">
        <v>6</v>
      </c>
      <c r="G196" s="29" t="s">
        <v>7</v>
      </c>
      <c r="H196" s="26" t="s">
        <v>8</v>
      </c>
      <c r="I196"/>
      <c r="J196"/>
      <c r="K196"/>
    </row>
    <row r="197" spans="1:11" x14ac:dyDescent="0.3">
      <c r="A197" s="12">
        <v>45910</v>
      </c>
      <c r="B197">
        <v>18975</v>
      </c>
      <c r="C197">
        <v>60000</v>
      </c>
      <c r="D197">
        <v>26300</v>
      </c>
      <c r="E197" t="s">
        <v>58</v>
      </c>
      <c r="F197" s="13">
        <v>45950</v>
      </c>
      <c r="G197">
        <f>C197-D197</f>
        <v>33700</v>
      </c>
      <c r="I197"/>
      <c r="J197"/>
      <c r="K197"/>
    </row>
    <row r="198" spans="1:11" x14ac:dyDescent="0.3">
      <c r="A198" s="12"/>
      <c r="D198">
        <v>22000</v>
      </c>
      <c r="E198" t="s">
        <v>59</v>
      </c>
      <c r="F198" s="13">
        <v>45995</v>
      </c>
      <c r="G198">
        <f>G197-D198</f>
        <v>11700</v>
      </c>
      <c r="I198"/>
      <c r="J198"/>
      <c r="K198"/>
    </row>
    <row r="199" spans="1:11" x14ac:dyDescent="0.3">
      <c r="A199" s="12"/>
      <c r="D199">
        <v>11700</v>
      </c>
      <c r="E199" t="s">
        <v>60</v>
      </c>
      <c r="F199" s="13">
        <v>46386</v>
      </c>
      <c r="G199">
        <f>G198-D199</f>
        <v>0</v>
      </c>
      <c r="H199" s="19" t="s">
        <v>11</v>
      </c>
      <c r="I199"/>
      <c r="J199"/>
      <c r="K199"/>
    </row>
    <row r="200" spans="1:11" x14ac:dyDescent="0.3">
      <c r="A200" s="40"/>
      <c r="B200" s="5"/>
      <c r="C200" s="5"/>
      <c r="D200" s="5"/>
      <c r="E200" s="5"/>
      <c r="F200" s="6"/>
      <c r="G200" s="5"/>
      <c r="H200" s="33"/>
      <c r="I200"/>
      <c r="J200"/>
      <c r="K200"/>
    </row>
    <row r="201" spans="1:11" x14ac:dyDescent="0.3">
      <c r="A201" s="12">
        <v>45987</v>
      </c>
      <c r="B201">
        <v>20004</v>
      </c>
      <c r="C201">
        <v>50000</v>
      </c>
      <c r="D201">
        <f>20200-11700</f>
        <v>8500</v>
      </c>
      <c r="E201" t="s">
        <v>60</v>
      </c>
      <c r="F201" s="13">
        <v>46386</v>
      </c>
      <c r="G201">
        <f>C201-D201</f>
        <v>41500</v>
      </c>
      <c r="H201" s="19" t="s">
        <v>11</v>
      </c>
      <c r="I201"/>
      <c r="J201"/>
      <c r="K201"/>
    </row>
    <row r="202" spans="1:11" x14ac:dyDescent="0.3">
      <c r="A202" s="40"/>
      <c r="B202" s="5"/>
      <c r="C202" s="5"/>
      <c r="D202" s="5"/>
      <c r="E202" s="5"/>
      <c r="F202" s="6"/>
      <c r="G202" s="5"/>
      <c r="H202" s="33"/>
      <c r="I202"/>
      <c r="J202"/>
      <c r="K202"/>
    </row>
    <row r="203" spans="1:11" x14ac:dyDescent="0.3">
      <c r="A203" s="12">
        <v>46126</v>
      </c>
      <c r="B203" t="s">
        <v>61</v>
      </c>
      <c r="C203">
        <v>54000</v>
      </c>
      <c r="D203">
        <v>19000</v>
      </c>
      <c r="E203">
        <v>41727</v>
      </c>
      <c r="F203" s="13">
        <v>46177</v>
      </c>
      <c r="G203">
        <f>C203-D203</f>
        <v>35000</v>
      </c>
      <c r="I203"/>
      <c r="J203"/>
      <c r="K203"/>
    </row>
    <row r="204" spans="1:11" x14ac:dyDescent="0.3">
      <c r="A204" s="43"/>
      <c r="D204">
        <v>20000</v>
      </c>
      <c r="E204">
        <v>41741</v>
      </c>
      <c r="F204" s="13">
        <v>46184</v>
      </c>
      <c r="G204">
        <f>G203-D204</f>
        <v>15000</v>
      </c>
      <c r="H204" s="19" t="s">
        <v>62</v>
      </c>
      <c r="I204"/>
      <c r="J204"/>
      <c r="K204"/>
    </row>
    <row r="205" spans="1:11" x14ac:dyDescent="0.3">
      <c r="A205" s="40"/>
      <c r="B205" s="5"/>
      <c r="C205" s="5"/>
      <c r="D205" s="5"/>
      <c r="E205" s="5"/>
      <c r="F205" s="6" t="s">
        <v>63</v>
      </c>
      <c r="G205" s="5"/>
      <c r="H205" s="33"/>
      <c r="I205"/>
      <c r="J205"/>
      <c r="K205"/>
    </row>
    <row r="206" spans="1:11" x14ac:dyDescent="0.3">
      <c r="A206" s="12">
        <v>46149</v>
      </c>
      <c r="B206" t="s">
        <v>64</v>
      </c>
      <c r="C206">
        <v>18000</v>
      </c>
      <c r="F206" s="13"/>
      <c r="G206">
        <f>C206-D206</f>
        <v>18000</v>
      </c>
      <c r="H206" s="19" t="s">
        <v>41</v>
      </c>
      <c r="I206"/>
      <c r="J206"/>
      <c r="K206"/>
    </row>
    <row r="207" spans="1:11" x14ac:dyDescent="0.3">
      <c r="A207" s="40"/>
      <c r="B207" s="5"/>
      <c r="C207" s="5"/>
      <c r="D207" s="5"/>
      <c r="E207" s="5"/>
      <c r="F207" s="6"/>
      <c r="G207" s="5"/>
      <c r="H207" s="33"/>
      <c r="I207"/>
      <c r="J207"/>
      <c r="K207"/>
    </row>
    <row r="208" spans="1:11" ht="14.4" customHeight="1" thickBot="1" x14ac:dyDescent="0.35">
      <c r="A208" s="24"/>
      <c r="B208" s="25"/>
      <c r="C208" s="25"/>
      <c r="D208" s="25"/>
      <c r="E208" s="112" t="s">
        <v>23</v>
      </c>
      <c r="F208" s="112"/>
      <c r="G208" s="70">
        <f>G204+G206</f>
        <v>33000</v>
      </c>
      <c r="H208" s="58"/>
      <c r="I208"/>
      <c r="J208"/>
      <c r="K208"/>
    </row>
    <row r="209" spans="1:11" ht="14.4" customHeight="1" thickBot="1" x14ac:dyDescent="0.35">
      <c r="I209"/>
      <c r="J209"/>
      <c r="K209"/>
    </row>
    <row r="210" spans="1:11" x14ac:dyDescent="0.3">
      <c r="A210" s="109" t="s">
        <v>65</v>
      </c>
      <c r="B210" s="110"/>
      <c r="C210" s="110"/>
      <c r="D210" s="110"/>
      <c r="E210" s="110"/>
      <c r="F210" s="110"/>
      <c r="G210" s="110"/>
      <c r="H210" s="111"/>
      <c r="I210"/>
      <c r="J210"/>
      <c r="K210"/>
    </row>
    <row r="211" spans="1:11" ht="15" thickBot="1" x14ac:dyDescent="0.35">
      <c r="A211" s="123"/>
      <c r="B211" s="124"/>
      <c r="C211" s="124"/>
      <c r="D211" s="124"/>
      <c r="E211" s="124"/>
      <c r="F211" s="124"/>
      <c r="G211" s="124"/>
      <c r="H211" s="125"/>
      <c r="I211"/>
      <c r="J211"/>
      <c r="K211"/>
    </row>
    <row r="212" spans="1:11" ht="47.4" thickBot="1" x14ac:dyDescent="0.35">
      <c r="A212" s="1" t="s">
        <v>1</v>
      </c>
      <c r="B212" s="1" t="s">
        <v>2</v>
      </c>
      <c r="C212" s="1" t="s">
        <v>3</v>
      </c>
      <c r="D212" s="1" t="s">
        <v>4</v>
      </c>
      <c r="E212" s="1" t="s">
        <v>5</v>
      </c>
      <c r="F212" s="1" t="s">
        <v>6</v>
      </c>
      <c r="G212" s="1" t="s">
        <v>7</v>
      </c>
      <c r="H212" s="2" t="s">
        <v>8</v>
      </c>
      <c r="I212"/>
      <c r="J212"/>
      <c r="K212"/>
    </row>
    <row r="213" spans="1:11" ht="15.6" x14ac:dyDescent="0.3">
      <c r="A213" s="34">
        <v>45863</v>
      </c>
      <c r="B213" s="19">
        <v>18501</v>
      </c>
      <c r="C213">
        <v>50000</v>
      </c>
      <c r="D213" s="19">
        <v>12000</v>
      </c>
      <c r="E213" s="106">
        <v>41342</v>
      </c>
      <c r="F213" s="81">
        <v>45890</v>
      </c>
      <c r="G213" s="19">
        <f>C213-D213</f>
        <v>38000</v>
      </c>
      <c r="H213" s="105"/>
      <c r="I213"/>
      <c r="J213"/>
      <c r="K213"/>
    </row>
    <row r="214" spans="1:11" ht="15.6" x14ac:dyDescent="0.3">
      <c r="A214" s="34"/>
      <c r="B214" s="19"/>
      <c r="D214" s="19">
        <v>6600</v>
      </c>
      <c r="E214" s="106" t="s">
        <v>116</v>
      </c>
      <c r="F214" s="81">
        <v>45908</v>
      </c>
      <c r="G214" s="19">
        <f>G213-D214</f>
        <v>31400</v>
      </c>
      <c r="H214" s="107" t="s">
        <v>46</v>
      </c>
      <c r="I214"/>
      <c r="J214"/>
      <c r="K214"/>
    </row>
    <row r="215" spans="1:11" ht="15.6" x14ac:dyDescent="0.3">
      <c r="A215" s="103"/>
      <c r="B215" s="104"/>
      <c r="C215" s="104"/>
      <c r="D215" s="104"/>
      <c r="E215" s="104"/>
      <c r="F215" s="104"/>
      <c r="G215" s="104"/>
      <c r="H215" s="105"/>
      <c r="I215"/>
      <c r="J215"/>
      <c r="K215"/>
    </row>
    <row r="216" spans="1:11" x14ac:dyDescent="0.3">
      <c r="A216" s="40"/>
      <c r="B216" s="5"/>
      <c r="C216" s="5"/>
      <c r="D216" s="5"/>
      <c r="E216" s="5"/>
      <c r="F216" s="6"/>
      <c r="G216" s="5"/>
      <c r="H216" s="8"/>
      <c r="I216"/>
      <c r="J216"/>
      <c r="K216"/>
    </row>
    <row r="217" spans="1:11" x14ac:dyDescent="0.3">
      <c r="A217" s="116">
        <v>46126</v>
      </c>
      <c r="B217" s="117" t="s">
        <v>66</v>
      </c>
      <c r="C217" s="134">
        <v>50000</v>
      </c>
      <c r="D217">
        <v>10000</v>
      </c>
      <c r="E217">
        <v>41694</v>
      </c>
      <c r="F217" s="13">
        <v>46148</v>
      </c>
      <c r="G217">
        <f>C217-D217</f>
        <v>40000</v>
      </c>
      <c r="H217" s="15"/>
      <c r="I217"/>
      <c r="J217"/>
      <c r="K217"/>
    </row>
    <row r="218" spans="1:11" x14ac:dyDescent="0.3">
      <c r="A218" s="133"/>
      <c r="B218" s="117"/>
      <c r="C218" s="134"/>
      <c r="D218">
        <v>20000</v>
      </c>
      <c r="E218">
        <v>41696</v>
      </c>
      <c r="F218" s="13">
        <v>46150</v>
      </c>
      <c r="G218">
        <f>G217-D218</f>
        <v>20000</v>
      </c>
      <c r="H218" s="15"/>
      <c r="I218"/>
      <c r="J218"/>
      <c r="K218"/>
    </row>
    <row r="219" spans="1:11" x14ac:dyDescent="0.3">
      <c r="A219" s="133"/>
      <c r="B219" s="117"/>
      <c r="C219" s="134"/>
      <c r="D219">
        <v>19000</v>
      </c>
      <c r="E219">
        <v>41729</v>
      </c>
      <c r="F219" s="13">
        <v>46177</v>
      </c>
      <c r="G219">
        <f>G218-D219</f>
        <v>1000</v>
      </c>
      <c r="H219" s="15" t="s">
        <v>11</v>
      </c>
      <c r="I219"/>
      <c r="J219"/>
      <c r="K219"/>
    </row>
    <row r="220" spans="1:11" x14ac:dyDescent="0.3">
      <c r="A220" s="71"/>
      <c r="B220" s="41"/>
      <c r="C220" s="5"/>
      <c r="D220" s="5"/>
      <c r="E220" s="5"/>
      <c r="F220" s="6"/>
      <c r="G220" s="5"/>
      <c r="H220" s="8"/>
      <c r="I220"/>
      <c r="J220"/>
      <c r="K220"/>
    </row>
    <row r="221" spans="1:11" x14ac:dyDescent="0.3">
      <c r="A221" s="39">
        <v>46149</v>
      </c>
      <c r="B221" s="3" t="s">
        <v>67</v>
      </c>
      <c r="C221">
        <v>50000</v>
      </c>
      <c r="F221" s="13"/>
      <c r="G221">
        <f>C221-D221</f>
        <v>50000</v>
      </c>
      <c r="H221" s="22" t="s">
        <v>41</v>
      </c>
      <c r="I221"/>
      <c r="J221"/>
      <c r="K221"/>
    </row>
    <row r="222" spans="1:11" x14ac:dyDescent="0.3">
      <c r="A222" s="87"/>
      <c r="B222" s="41"/>
      <c r="C222" s="5"/>
      <c r="D222" s="5"/>
      <c r="E222" s="5"/>
      <c r="F222" s="6"/>
      <c r="G222" s="5"/>
      <c r="H222" s="88"/>
      <c r="I222"/>
      <c r="J222"/>
      <c r="K222"/>
    </row>
    <row r="223" spans="1:11" ht="16.2" thickBot="1" x14ac:dyDescent="0.35">
      <c r="A223" s="24"/>
      <c r="B223" s="25"/>
      <c r="C223" s="25"/>
      <c r="D223" s="25"/>
      <c r="E223" s="112" t="s">
        <v>23</v>
      </c>
      <c r="F223" s="112"/>
      <c r="G223" s="70">
        <f>G221+G214</f>
        <v>81400</v>
      </c>
      <c r="H223" s="28"/>
      <c r="I223"/>
      <c r="J223"/>
      <c r="K223"/>
    </row>
    <row r="224" spans="1:11" ht="15" thickBot="1" x14ac:dyDescent="0.35">
      <c r="I224"/>
      <c r="J224"/>
      <c r="K224"/>
    </row>
    <row r="225" spans="1:11" x14ac:dyDescent="0.3">
      <c r="A225" s="109" t="s">
        <v>68</v>
      </c>
      <c r="B225" s="110"/>
      <c r="C225" s="110"/>
      <c r="D225" s="110"/>
      <c r="E225" s="110"/>
      <c r="F225" s="110"/>
      <c r="G225" s="110"/>
      <c r="H225" s="111"/>
      <c r="I225"/>
      <c r="J225"/>
      <c r="K225"/>
    </row>
    <row r="226" spans="1:11" ht="15" thickBot="1" x14ac:dyDescent="0.35">
      <c r="A226" s="123"/>
      <c r="B226" s="124"/>
      <c r="C226" s="124"/>
      <c r="D226" s="124"/>
      <c r="E226" s="124"/>
      <c r="F226" s="124"/>
      <c r="G226" s="124"/>
      <c r="H226" s="125"/>
      <c r="I226"/>
      <c r="J226"/>
      <c r="K226"/>
    </row>
    <row r="227" spans="1:11" ht="47.4" thickBot="1" x14ac:dyDescent="0.35">
      <c r="A227" s="29" t="s">
        <v>1</v>
      </c>
      <c r="B227" s="29" t="s">
        <v>2</v>
      </c>
      <c r="C227" s="29" t="s">
        <v>3</v>
      </c>
      <c r="D227" s="29" t="s">
        <v>4</v>
      </c>
      <c r="E227" s="29" t="s">
        <v>5</v>
      </c>
      <c r="F227" s="29" t="s">
        <v>6</v>
      </c>
      <c r="G227" s="29" t="s">
        <v>7</v>
      </c>
      <c r="H227" s="31" t="s">
        <v>8</v>
      </c>
      <c r="I227"/>
      <c r="J227"/>
      <c r="K227"/>
    </row>
    <row r="228" spans="1:11" x14ac:dyDescent="0.3">
      <c r="A228" s="4"/>
      <c r="B228" s="5"/>
      <c r="C228" s="33"/>
      <c r="D228" s="5"/>
      <c r="E228" s="89"/>
      <c r="F228" s="6"/>
      <c r="G228" s="5"/>
      <c r="H228" s="8"/>
      <c r="I228"/>
      <c r="J228"/>
      <c r="K228"/>
    </row>
    <row r="229" spans="1:11" x14ac:dyDescent="0.3">
      <c r="A229" s="12">
        <v>46318</v>
      </c>
      <c r="B229">
        <v>19408</v>
      </c>
      <c r="C229" s="19">
        <v>400000</v>
      </c>
      <c r="D229">
        <v>38100</v>
      </c>
      <c r="E229" s="21" t="s">
        <v>69</v>
      </c>
      <c r="F229" s="13">
        <v>46057</v>
      </c>
      <c r="G229">
        <f>C229-D229</f>
        <v>361900</v>
      </c>
      <c r="H229" s="15"/>
      <c r="I229"/>
      <c r="J229"/>
      <c r="K229"/>
    </row>
    <row r="230" spans="1:11" ht="14.4" customHeight="1" x14ac:dyDescent="0.3">
      <c r="A230" s="12"/>
      <c r="C230" s="19"/>
      <c r="D230">
        <v>40000</v>
      </c>
      <c r="E230" s="21" t="s">
        <v>70</v>
      </c>
      <c r="F230" s="13">
        <v>46098</v>
      </c>
      <c r="G230">
        <f t="shared" ref="G230:G235" si="1">G229-D230</f>
        <v>321900</v>
      </c>
      <c r="H230" s="15"/>
      <c r="I230"/>
      <c r="J230"/>
      <c r="K230"/>
    </row>
    <row r="231" spans="1:11" ht="15" customHeight="1" x14ac:dyDescent="0.3">
      <c r="A231" s="12"/>
      <c r="C231" s="19"/>
      <c r="D231">
        <v>41000</v>
      </c>
      <c r="E231" t="s">
        <v>71</v>
      </c>
      <c r="F231" s="13">
        <v>46108</v>
      </c>
      <c r="G231">
        <f t="shared" si="1"/>
        <v>280900</v>
      </c>
      <c r="H231" s="15"/>
      <c r="I231"/>
      <c r="J231"/>
      <c r="K231"/>
    </row>
    <row r="232" spans="1:11" x14ac:dyDescent="0.3">
      <c r="A232" s="12"/>
      <c r="C232" s="19"/>
      <c r="D232">
        <v>52000</v>
      </c>
      <c r="E232" s="21" t="s">
        <v>72</v>
      </c>
      <c r="F232" s="13">
        <v>46126</v>
      </c>
      <c r="G232">
        <f t="shared" si="1"/>
        <v>228900</v>
      </c>
      <c r="I232"/>
      <c r="J232"/>
      <c r="K232"/>
    </row>
    <row r="233" spans="1:11" x14ac:dyDescent="0.3">
      <c r="A233" s="12"/>
      <c r="C233" s="19"/>
      <c r="D233">
        <v>12000</v>
      </c>
      <c r="E233" s="21" t="s">
        <v>73</v>
      </c>
      <c r="F233" s="13">
        <v>46210</v>
      </c>
      <c r="G233">
        <f t="shared" si="1"/>
        <v>216900</v>
      </c>
      <c r="I233"/>
      <c r="J233"/>
      <c r="K233"/>
    </row>
    <row r="234" spans="1:11" x14ac:dyDescent="0.3">
      <c r="A234" s="12"/>
      <c r="C234" s="19"/>
      <c r="D234">
        <v>39000</v>
      </c>
      <c r="E234" s="21" t="s">
        <v>74</v>
      </c>
      <c r="F234" s="13">
        <v>46212</v>
      </c>
      <c r="G234">
        <f t="shared" si="1"/>
        <v>177900</v>
      </c>
      <c r="H234" s="15"/>
      <c r="I234"/>
      <c r="J234"/>
      <c r="K234"/>
    </row>
    <row r="235" spans="1:11" x14ac:dyDescent="0.3">
      <c r="A235" s="12"/>
      <c r="C235" s="19"/>
      <c r="D235">
        <v>54000</v>
      </c>
      <c r="E235" s="21">
        <v>41780</v>
      </c>
      <c r="F235" s="13">
        <v>46219</v>
      </c>
      <c r="G235">
        <f t="shared" si="1"/>
        <v>123900</v>
      </c>
      <c r="H235" s="15" t="s">
        <v>62</v>
      </c>
      <c r="I235"/>
      <c r="J235"/>
      <c r="K235"/>
    </row>
    <row r="236" spans="1:11" x14ac:dyDescent="0.3">
      <c r="A236" s="40"/>
      <c r="B236" s="5"/>
      <c r="C236" s="5"/>
      <c r="D236" s="5"/>
      <c r="E236" s="5"/>
      <c r="F236" s="6"/>
      <c r="G236" s="5"/>
      <c r="H236" s="8"/>
      <c r="I236"/>
      <c r="J236"/>
      <c r="K236"/>
    </row>
    <row r="237" spans="1:11" x14ac:dyDescent="0.3">
      <c r="A237" s="12">
        <v>46126</v>
      </c>
      <c r="B237" t="s">
        <v>75</v>
      </c>
      <c r="C237">
        <v>50000</v>
      </c>
      <c r="D237">
        <v>20000</v>
      </c>
      <c r="E237" s="90">
        <v>41728</v>
      </c>
      <c r="F237" s="13">
        <v>46177</v>
      </c>
      <c r="I237"/>
      <c r="J237"/>
      <c r="K237"/>
    </row>
    <row r="238" spans="1:11" x14ac:dyDescent="0.3">
      <c r="A238" s="12"/>
      <c r="D238">
        <v>10000</v>
      </c>
      <c r="E238">
        <v>41756</v>
      </c>
      <c r="F238" s="13">
        <v>46204</v>
      </c>
      <c r="H238" s="15"/>
      <c r="I238"/>
      <c r="J238"/>
      <c r="K238"/>
    </row>
    <row r="239" spans="1:11" x14ac:dyDescent="0.3">
      <c r="A239" s="12"/>
      <c r="D239">
        <v>12000</v>
      </c>
      <c r="E239">
        <v>41760</v>
      </c>
      <c r="F239" s="13">
        <v>46205</v>
      </c>
      <c r="H239" s="15"/>
      <c r="I239"/>
      <c r="J239"/>
      <c r="K239"/>
    </row>
    <row r="240" spans="1:11" x14ac:dyDescent="0.3">
      <c r="A240" s="12"/>
      <c r="D240">
        <v>10000</v>
      </c>
      <c r="E240">
        <v>41761</v>
      </c>
      <c r="F240" s="13">
        <v>46206</v>
      </c>
      <c r="G240">
        <v>0</v>
      </c>
      <c r="H240" s="15" t="s">
        <v>29</v>
      </c>
      <c r="I240"/>
      <c r="J240"/>
      <c r="K240"/>
    </row>
    <row r="241" spans="1:11" x14ac:dyDescent="0.3">
      <c r="A241" s="4"/>
      <c r="B241" s="5"/>
      <c r="C241" s="5"/>
      <c r="D241" s="5"/>
      <c r="E241" s="5"/>
      <c r="F241" s="6"/>
      <c r="G241" s="5"/>
      <c r="H241" s="8"/>
      <c r="I241"/>
      <c r="J241"/>
      <c r="K241"/>
    </row>
    <row r="242" spans="1:11" x14ac:dyDescent="0.3">
      <c r="A242" s="12">
        <v>46149</v>
      </c>
      <c r="B242" t="s">
        <v>76</v>
      </c>
      <c r="C242">
        <v>170000</v>
      </c>
      <c r="F242" s="13"/>
      <c r="G242">
        <f>C242-D242</f>
        <v>170000</v>
      </c>
      <c r="H242" s="22" t="s">
        <v>46</v>
      </c>
      <c r="I242"/>
      <c r="J242"/>
      <c r="K242"/>
    </row>
    <row r="243" spans="1:11" x14ac:dyDescent="0.3">
      <c r="A243" s="40"/>
      <c r="B243" s="5"/>
      <c r="C243" s="5"/>
      <c r="D243" s="5"/>
      <c r="E243" s="5"/>
      <c r="F243" s="6"/>
      <c r="G243" s="5"/>
      <c r="H243" s="8"/>
      <c r="I243"/>
      <c r="J243"/>
      <c r="K243"/>
    </row>
    <row r="244" spans="1:11" ht="16.2" thickBot="1" x14ac:dyDescent="0.35">
      <c r="A244" s="24"/>
      <c r="B244" s="25"/>
      <c r="C244" s="25"/>
      <c r="D244" s="25"/>
      <c r="E244" s="112" t="s">
        <v>23</v>
      </c>
      <c r="F244" s="112"/>
      <c r="G244" s="70">
        <f>G234+G242</f>
        <v>347900</v>
      </c>
      <c r="H244" s="28"/>
      <c r="I244"/>
      <c r="J244"/>
      <c r="K244"/>
    </row>
    <row r="245" spans="1:11" ht="15" thickBot="1" x14ac:dyDescent="0.35">
      <c r="I245"/>
      <c r="J245"/>
      <c r="K245"/>
    </row>
    <row r="246" spans="1:11" x14ac:dyDescent="0.3">
      <c r="A246" s="109" t="s">
        <v>77</v>
      </c>
      <c r="B246" s="110"/>
      <c r="C246" s="110"/>
      <c r="D246" s="110"/>
      <c r="E246" s="110"/>
      <c r="F246" s="110"/>
      <c r="G246" s="110"/>
      <c r="H246" s="111"/>
      <c r="I246"/>
      <c r="J246"/>
      <c r="K246"/>
    </row>
    <row r="247" spans="1:11" ht="15" thickBot="1" x14ac:dyDescent="0.35">
      <c r="A247" s="123"/>
      <c r="B247" s="124"/>
      <c r="C247" s="124"/>
      <c r="D247" s="124"/>
      <c r="E247" s="124"/>
      <c r="F247" s="124"/>
      <c r="G247" s="124"/>
      <c r="H247" s="125"/>
      <c r="I247"/>
      <c r="J247"/>
      <c r="K247"/>
    </row>
    <row r="248" spans="1:11" ht="47.4" thickBot="1" x14ac:dyDescent="0.35">
      <c r="A248" s="29" t="s">
        <v>1</v>
      </c>
      <c r="B248" s="29" t="s">
        <v>2</v>
      </c>
      <c r="C248" s="29" t="s">
        <v>3</v>
      </c>
      <c r="D248" s="29" t="s">
        <v>4</v>
      </c>
      <c r="E248" s="29" t="s">
        <v>5</v>
      </c>
      <c r="F248" s="29" t="s">
        <v>6</v>
      </c>
      <c r="G248" s="29" t="s">
        <v>7</v>
      </c>
      <c r="H248" s="31" t="s">
        <v>8</v>
      </c>
      <c r="I248"/>
      <c r="J248"/>
      <c r="K248"/>
    </row>
    <row r="249" spans="1:11" x14ac:dyDescent="0.3">
      <c r="A249" s="40"/>
      <c r="B249" s="5"/>
      <c r="C249" s="5"/>
      <c r="D249" s="5"/>
      <c r="E249" s="5"/>
      <c r="F249" s="6"/>
      <c r="G249" s="5"/>
      <c r="H249" s="8"/>
      <c r="I249"/>
      <c r="J249"/>
      <c r="K249"/>
    </row>
    <row r="250" spans="1:11" x14ac:dyDescent="0.3">
      <c r="A250" s="12">
        <v>46126</v>
      </c>
      <c r="B250">
        <v>20725</v>
      </c>
      <c r="C250">
        <v>100000</v>
      </c>
      <c r="D250">
        <v>31500</v>
      </c>
      <c r="E250" t="s">
        <v>78</v>
      </c>
      <c r="F250" s="13">
        <v>46126</v>
      </c>
      <c r="G250">
        <f>C250-D250</f>
        <v>68500</v>
      </c>
      <c r="I250"/>
      <c r="J250"/>
      <c r="K250"/>
    </row>
    <row r="251" spans="1:11" x14ac:dyDescent="0.3">
      <c r="A251" s="43"/>
      <c r="D251">
        <v>45000</v>
      </c>
      <c r="E251" s="90">
        <v>41735</v>
      </c>
      <c r="F251" s="13">
        <v>46181</v>
      </c>
      <c r="G251">
        <f>G250-D251</f>
        <v>23500</v>
      </c>
      <c r="H251" s="15"/>
      <c r="I251"/>
      <c r="J251"/>
      <c r="K251"/>
    </row>
    <row r="252" spans="1:11" x14ac:dyDescent="0.3">
      <c r="A252" s="43"/>
      <c r="D252">
        <v>21100</v>
      </c>
      <c r="E252" s="90">
        <v>41740</v>
      </c>
      <c r="F252" s="13">
        <v>46184</v>
      </c>
      <c r="G252">
        <f>G251-D252</f>
        <v>2400</v>
      </c>
      <c r="H252" s="15" t="s">
        <v>11</v>
      </c>
      <c r="I252"/>
      <c r="J252"/>
      <c r="K252"/>
    </row>
    <row r="253" spans="1:11" x14ac:dyDescent="0.3">
      <c r="A253" s="40"/>
      <c r="B253" s="5"/>
      <c r="C253" s="5"/>
      <c r="D253" s="5"/>
      <c r="E253" s="5"/>
      <c r="F253" s="6"/>
      <c r="G253" s="5"/>
      <c r="H253" s="8"/>
      <c r="I253"/>
      <c r="J253"/>
      <c r="K253"/>
    </row>
    <row r="254" spans="1:11" x14ac:dyDescent="0.3">
      <c r="A254" s="12">
        <v>46126</v>
      </c>
      <c r="B254" t="s">
        <v>79</v>
      </c>
      <c r="C254">
        <v>75000</v>
      </c>
      <c r="F254" s="13"/>
      <c r="G254">
        <f>C254</f>
        <v>75000</v>
      </c>
      <c r="H254" s="15" t="s">
        <v>62</v>
      </c>
      <c r="I254"/>
      <c r="J254"/>
      <c r="K254"/>
    </row>
    <row r="255" spans="1:11" x14ac:dyDescent="0.3">
      <c r="A255" s="40"/>
      <c r="B255" s="5"/>
      <c r="C255" s="5"/>
      <c r="D255" s="5"/>
      <c r="E255" s="5"/>
      <c r="F255" s="6"/>
      <c r="G255" s="5"/>
      <c r="H255" s="8"/>
      <c r="I255"/>
      <c r="J255"/>
      <c r="K255"/>
    </row>
    <row r="256" spans="1:11" x14ac:dyDescent="0.3">
      <c r="A256" s="12">
        <v>46149</v>
      </c>
      <c r="B256" t="s">
        <v>80</v>
      </c>
      <c r="C256">
        <v>70000</v>
      </c>
      <c r="F256" s="13"/>
      <c r="G256">
        <v>70000</v>
      </c>
      <c r="H256" s="22" t="s">
        <v>41</v>
      </c>
      <c r="I256"/>
      <c r="J256"/>
      <c r="K256"/>
    </row>
    <row r="257" spans="1:11" x14ac:dyDescent="0.3">
      <c r="A257" s="40"/>
      <c r="B257" s="5"/>
      <c r="C257" s="5"/>
      <c r="D257" s="5"/>
      <c r="E257" s="5"/>
      <c r="F257" s="6"/>
      <c r="G257" s="5"/>
      <c r="H257" s="8"/>
      <c r="I257"/>
      <c r="J257"/>
      <c r="K257"/>
    </row>
    <row r="258" spans="1:11" ht="16.2" thickBot="1" x14ac:dyDescent="0.35">
      <c r="A258" s="24"/>
      <c r="B258" s="25"/>
      <c r="C258" s="25"/>
      <c r="D258" s="25"/>
      <c r="E258" s="112" t="s">
        <v>23</v>
      </c>
      <c r="F258" s="112"/>
      <c r="G258" s="70">
        <f>G254+G256</f>
        <v>145000</v>
      </c>
      <c r="H258" s="28"/>
      <c r="I258"/>
      <c r="J258"/>
      <c r="K258"/>
    </row>
    <row r="259" spans="1:11" ht="18" customHeight="1" thickBot="1" x14ac:dyDescent="0.35">
      <c r="I259"/>
      <c r="J259"/>
      <c r="K259"/>
    </row>
    <row r="260" spans="1:11" ht="15" customHeight="1" x14ac:dyDescent="0.3">
      <c r="A260" s="109" t="s">
        <v>81</v>
      </c>
      <c r="B260" s="110"/>
      <c r="C260" s="110"/>
      <c r="D260" s="110"/>
      <c r="E260" s="110"/>
      <c r="F260" s="110"/>
      <c r="G260" s="110"/>
      <c r="H260" s="111"/>
      <c r="I260"/>
      <c r="J260"/>
      <c r="K260"/>
    </row>
    <row r="261" spans="1:11" ht="15" thickBot="1" x14ac:dyDescent="0.35">
      <c r="A261" s="123"/>
      <c r="B261" s="124"/>
      <c r="C261" s="124"/>
      <c r="D261" s="124"/>
      <c r="E261" s="124"/>
      <c r="F261" s="124"/>
      <c r="G261" s="124"/>
      <c r="H261" s="125"/>
      <c r="I261"/>
      <c r="J261"/>
      <c r="K261"/>
    </row>
    <row r="262" spans="1:11" ht="47.4" thickBot="1" x14ac:dyDescent="0.35">
      <c r="A262" s="1" t="s">
        <v>1</v>
      </c>
      <c r="B262" s="1" t="s">
        <v>2</v>
      </c>
      <c r="C262" s="1" t="s">
        <v>3</v>
      </c>
      <c r="D262" s="1" t="s">
        <v>4</v>
      </c>
      <c r="E262" s="1" t="s">
        <v>5</v>
      </c>
      <c r="F262" s="1" t="s">
        <v>6</v>
      </c>
      <c r="G262" s="1" t="s">
        <v>7</v>
      </c>
      <c r="H262" s="2" t="s">
        <v>8</v>
      </c>
      <c r="I262"/>
      <c r="J262"/>
      <c r="K262"/>
    </row>
    <row r="263" spans="1:11" x14ac:dyDescent="0.3">
      <c r="A263" s="37"/>
      <c r="B263" s="33"/>
      <c r="C263" s="33"/>
      <c r="D263" s="5"/>
      <c r="E263" s="89"/>
      <c r="F263" s="6"/>
      <c r="G263" s="5"/>
      <c r="H263" s="8"/>
      <c r="I263"/>
      <c r="J263"/>
      <c r="K263"/>
    </row>
    <row r="264" spans="1:11" x14ac:dyDescent="0.3">
      <c r="A264" s="34">
        <v>46126</v>
      </c>
      <c r="B264" s="19" t="s">
        <v>82</v>
      </c>
      <c r="C264" s="19">
        <v>290000</v>
      </c>
      <c r="D264">
        <v>23000</v>
      </c>
      <c r="E264" s="21">
        <v>41710</v>
      </c>
      <c r="F264" s="13">
        <v>46156</v>
      </c>
      <c r="G264">
        <f>C264-D264</f>
        <v>267000</v>
      </c>
      <c r="H264" s="15"/>
      <c r="I264"/>
      <c r="J264"/>
      <c r="K264"/>
    </row>
    <row r="265" spans="1:11" x14ac:dyDescent="0.3">
      <c r="A265" s="34"/>
      <c r="B265" s="19"/>
      <c r="C265" s="19"/>
      <c r="D265">
        <v>65000</v>
      </c>
      <c r="E265" s="21">
        <v>41733</v>
      </c>
      <c r="F265" s="13">
        <v>46177</v>
      </c>
      <c r="G265">
        <f>G264-D265</f>
        <v>202000</v>
      </c>
      <c r="H265" s="15"/>
      <c r="I265"/>
      <c r="J265"/>
      <c r="K265"/>
    </row>
    <row r="266" spans="1:11" x14ac:dyDescent="0.3">
      <c r="A266" s="34"/>
      <c r="B266" s="19"/>
      <c r="C266" s="19"/>
      <c r="D266">
        <v>28000</v>
      </c>
      <c r="E266" s="21">
        <v>41734</v>
      </c>
      <c r="F266" s="13">
        <v>46181</v>
      </c>
      <c r="G266">
        <f>G265-D266</f>
        <v>174000</v>
      </c>
      <c r="H266" s="15"/>
      <c r="I266"/>
      <c r="J266"/>
      <c r="K266"/>
    </row>
    <row r="267" spans="1:11" x14ac:dyDescent="0.3">
      <c r="A267" s="34"/>
      <c r="B267" s="19"/>
      <c r="C267" s="19"/>
      <c r="D267">
        <v>174000</v>
      </c>
      <c r="E267" s="21">
        <v>41739</v>
      </c>
      <c r="F267" s="13">
        <v>46184</v>
      </c>
      <c r="G267">
        <f>G266-D267</f>
        <v>0</v>
      </c>
      <c r="H267" s="15" t="s">
        <v>11</v>
      </c>
      <c r="I267"/>
      <c r="J267"/>
      <c r="K267"/>
    </row>
    <row r="268" spans="1:11" ht="13.8" customHeight="1" x14ac:dyDescent="0.3">
      <c r="A268" s="37"/>
      <c r="B268" s="33"/>
      <c r="C268" s="33"/>
      <c r="D268" s="5"/>
      <c r="E268" s="89"/>
      <c r="F268" s="6"/>
      <c r="G268" s="5"/>
      <c r="H268" s="8"/>
      <c r="I268"/>
      <c r="J268"/>
      <c r="K268"/>
    </row>
    <row r="269" spans="1:11" x14ac:dyDescent="0.3">
      <c r="A269" s="12">
        <v>46149</v>
      </c>
      <c r="B269" t="s">
        <v>83</v>
      </c>
      <c r="C269">
        <v>140000</v>
      </c>
      <c r="D269">
        <v>87000</v>
      </c>
      <c r="E269" s="21">
        <v>41759</v>
      </c>
      <c r="F269" s="13">
        <v>46205</v>
      </c>
      <c r="G269">
        <f>C269-D269</f>
        <v>53000</v>
      </c>
      <c r="H269" s="22" t="s">
        <v>11</v>
      </c>
      <c r="I269"/>
      <c r="J269"/>
      <c r="K269"/>
    </row>
    <row r="270" spans="1:11" x14ac:dyDescent="0.3">
      <c r="A270" s="43"/>
      <c r="D270">
        <v>65000</v>
      </c>
      <c r="E270" s="21">
        <v>41765</v>
      </c>
      <c r="F270" s="13">
        <v>46210</v>
      </c>
      <c r="G270">
        <f>G269-D270</f>
        <v>-12000</v>
      </c>
      <c r="H270" s="15"/>
      <c r="I270"/>
      <c r="J270"/>
      <c r="K270"/>
    </row>
    <row r="271" spans="1:11" x14ac:dyDescent="0.3">
      <c r="A271" s="40"/>
      <c r="B271" s="5"/>
      <c r="C271" s="5"/>
      <c r="D271" s="5"/>
      <c r="E271" s="5"/>
      <c r="F271" s="6"/>
      <c r="G271" s="5"/>
      <c r="H271" s="8"/>
      <c r="I271"/>
      <c r="J271"/>
      <c r="K271"/>
    </row>
    <row r="272" spans="1:11" ht="16.2" thickBot="1" x14ac:dyDescent="0.35">
      <c r="A272" s="24"/>
      <c r="B272" s="25"/>
      <c r="C272" s="25"/>
      <c r="D272" s="112" t="s">
        <v>16</v>
      </c>
      <c r="E272" s="112"/>
      <c r="F272" s="112"/>
      <c r="G272" s="70">
        <v>0</v>
      </c>
      <c r="H272" s="28"/>
      <c r="I272"/>
      <c r="J272"/>
      <c r="K272"/>
    </row>
    <row r="273" spans="1:11" ht="15" thickBot="1" x14ac:dyDescent="0.35">
      <c r="I273"/>
      <c r="J273"/>
      <c r="K273"/>
    </row>
    <row r="274" spans="1:11" x14ac:dyDescent="0.3">
      <c r="A274" s="109" t="s">
        <v>84</v>
      </c>
      <c r="B274" s="110"/>
      <c r="C274" s="110"/>
      <c r="D274" s="110"/>
      <c r="E274" s="110"/>
      <c r="F274" s="110"/>
      <c r="G274" s="110"/>
      <c r="H274" s="111"/>
      <c r="I274"/>
      <c r="J274"/>
      <c r="K274"/>
    </row>
    <row r="275" spans="1:11" ht="15" thickBot="1" x14ac:dyDescent="0.35">
      <c r="A275" s="135"/>
      <c r="B275" s="136"/>
      <c r="C275" s="136"/>
      <c r="D275" s="136"/>
      <c r="E275" s="136"/>
      <c r="F275" s="136"/>
      <c r="G275" s="136"/>
      <c r="H275" s="137"/>
      <c r="I275"/>
      <c r="J275"/>
      <c r="K275"/>
    </row>
    <row r="276" spans="1:11" ht="47.4" thickBot="1" x14ac:dyDescent="0.35">
      <c r="A276" s="1" t="s">
        <v>1</v>
      </c>
      <c r="B276" s="1" t="s">
        <v>2</v>
      </c>
      <c r="C276" s="1" t="s">
        <v>3</v>
      </c>
      <c r="D276" s="1" t="s">
        <v>4</v>
      </c>
      <c r="E276" s="1" t="s">
        <v>5</v>
      </c>
      <c r="F276" s="1" t="s">
        <v>6</v>
      </c>
      <c r="G276" s="1" t="s">
        <v>7</v>
      </c>
      <c r="H276" s="2" t="s">
        <v>8</v>
      </c>
      <c r="I276"/>
      <c r="J276"/>
      <c r="K276"/>
    </row>
    <row r="277" spans="1:11" x14ac:dyDescent="0.3">
      <c r="A277" s="91">
        <v>45975</v>
      </c>
      <c r="B277" s="92">
        <v>19850</v>
      </c>
      <c r="C277" s="92">
        <v>2000</v>
      </c>
      <c r="D277">
        <v>2000</v>
      </c>
      <c r="E277" t="s">
        <v>85</v>
      </c>
      <c r="F277" s="13">
        <v>45995</v>
      </c>
      <c r="G277">
        <f>C277-D277</f>
        <v>0</v>
      </c>
      <c r="H277" s="15" t="s">
        <v>29</v>
      </c>
      <c r="I277"/>
      <c r="J277"/>
      <c r="K277"/>
    </row>
    <row r="278" spans="1:11" ht="17.399999999999999" customHeight="1" x14ac:dyDescent="0.3">
      <c r="A278" s="12"/>
      <c r="F278" s="13"/>
      <c r="H278" s="15"/>
      <c r="I278"/>
      <c r="J278"/>
      <c r="K278"/>
    </row>
    <row r="279" spans="1:11" ht="18" customHeight="1" x14ac:dyDescent="0.3">
      <c r="A279" s="32"/>
      <c r="B279" s="33"/>
      <c r="C279" s="33"/>
      <c r="D279" s="5"/>
      <c r="E279" s="5"/>
      <c r="F279" s="6"/>
      <c r="G279" s="5"/>
      <c r="H279" s="8"/>
      <c r="I279"/>
      <c r="J279"/>
      <c r="K279"/>
    </row>
    <row r="280" spans="1:11" x14ac:dyDescent="0.3">
      <c r="A280" s="34">
        <v>45975</v>
      </c>
      <c r="B280" s="19">
        <v>19851</v>
      </c>
      <c r="C280" s="19">
        <v>2000</v>
      </c>
      <c r="D280">
        <v>2000</v>
      </c>
      <c r="E280" s="21" t="s">
        <v>86</v>
      </c>
      <c r="F280" s="13">
        <v>46386</v>
      </c>
      <c r="G280">
        <f>C280-D280</f>
        <v>0</v>
      </c>
      <c r="H280" s="15"/>
      <c r="I280"/>
      <c r="J280"/>
      <c r="K280"/>
    </row>
    <row r="281" spans="1:11" x14ac:dyDescent="0.3">
      <c r="A281" s="34"/>
      <c r="B281" s="19"/>
      <c r="C281" s="19"/>
      <c r="E281" s="21"/>
      <c r="F281" s="13"/>
      <c r="I281"/>
      <c r="J281"/>
      <c r="K281"/>
    </row>
    <row r="282" spans="1:11" x14ac:dyDescent="0.3">
      <c r="A282" s="37"/>
      <c r="B282" s="33"/>
      <c r="C282" s="33"/>
      <c r="D282" s="5"/>
      <c r="E282" s="89"/>
      <c r="F282" s="6"/>
      <c r="G282" s="5"/>
      <c r="H282" s="8"/>
      <c r="I282"/>
      <c r="J282"/>
      <c r="K282"/>
    </row>
    <row r="283" spans="1:11" x14ac:dyDescent="0.3">
      <c r="A283" s="34">
        <v>45975</v>
      </c>
      <c r="B283" s="19">
        <v>19997</v>
      </c>
      <c r="C283" s="19">
        <v>2000</v>
      </c>
      <c r="D283">
        <v>1200</v>
      </c>
      <c r="E283" s="21" t="s">
        <v>87</v>
      </c>
      <c r="F283" s="13">
        <v>45995</v>
      </c>
      <c r="G283">
        <f>C283-D283</f>
        <v>800</v>
      </c>
      <c r="H283" s="15"/>
      <c r="I283"/>
      <c r="J283"/>
      <c r="K283"/>
    </row>
    <row r="284" spans="1:11" x14ac:dyDescent="0.3">
      <c r="A284" s="34"/>
      <c r="B284" s="19"/>
      <c r="C284" s="19"/>
      <c r="D284">
        <v>800</v>
      </c>
      <c r="E284" s="21" t="s">
        <v>88</v>
      </c>
      <c r="F284" s="13">
        <v>46001</v>
      </c>
      <c r="G284">
        <f>G283-D284</f>
        <v>0</v>
      </c>
      <c r="H284" s="15" t="s">
        <v>29</v>
      </c>
      <c r="I284"/>
      <c r="J284"/>
      <c r="K284"/>
    </row>
    <row r="285" spans="1:11" x14ac:dyDescent="0.3">
      <c r="A285" s="37"/>
      <c r="B285" s="33"/>
      <c r="C285" s="33"/>
      <c r="D285" s="5"/>
      <c r="E285" s="89"/>
      <c r="F285" s="6"/>
      <c r="G285" s="5"/>
      <c r="H285" s="8"/>
      <c r="I285"/>
      <c r="J285"/>
      <c r="K285"/>
    </row>
    <row r="286" spans="1:11" x14ac:dyDescent="0.3">
      <c r="A286" s="40"/>
      <c r="B286" s="5"/>
      <c r="C286" s="5"/>
      <c r="D286" s="5"/>
      <c r="E286" s="5"/>
      <c r="F286" s="6"/>
      <c r="G286" s="5"/>
      <c r="H286" s="8"/>
      <c r="I286"/>
      <c r="J286"/>
      <c r="K286"/>
    </row>
    <row r="287" spans="1:11" x14ac:dyDescent="0.3">
      <c r="A287" s="93" t="s">
        <v>89</v>
      </c>
      <c r="B287">
        <v>20402</v>
      </c>
      <c r="C287">
        <v>3500</v>
      </c>
      <c r="D287">
        <v>1000</v>
      </c>
      <c r="E287" t="s">
        <v>90</v>
      </c>
      <c r="F287" s="13">
        <v>46049</v>
      </c>
      <c r="G287">
        <f>C287-D287</f>
        <v>2500</v>
      </c>
      <c r="I287"/>
      <c r="J287"/>
      <c r="K287"/>
    </row>
    <row r="288" spans="1:11" x14ac:dyDescent="0.3">
      <c r="A288" s="93"/>
      <c r="D288">
        <v>1966</v>
      </c>
      <c r="E288" t="s">
        <v>91</v>
      </c>
      <c r="F288" s="13">
        <v>46051</v>
      </c>
      <c r="G288">
        <f>G287-D288</f>
        <v>534</v>
      </c>
      <c r="H288" s="15"/>
      <c r="I288"/>
      <c r="J288"/>
      <c r="K288"/>
    </row>
    <row r="289" spans="1:11" x14ac:dyDescent="0.3">
      <c r="A289" s="93"/>
      <c r="D289">
        <v>534</v>
      </c>
      <c r="E289" t="s">
        <v>92</v>
      </c>
      <c r="F289" s="13">
        <v>46071</v>
      </c>
      <c r="G289">
        <v>0</v>
      </c>
      <c r="I289"/>
      <c r="J289"/>
      <c r="K289"/>
    </row>
    <row r="290" spans="1:11" x14ac:dyDescent="0.3">
      <c r="A290" s="93"/>
      <c r="D290">
        <v>2000</v>
      </c>
      <c r="E290" t="s">
        <v>93</v>
      </c>
      <c r="F290" s="13">
        <v>46079</v>
      </c>
      <c r="G290">
        <f>G289-D290</f>
        <v>-2000</v>
      </c>
      <c r="H290" s="15" t="s">
        <v>11</v>
      </c>
      <c r="I290"/>
      <c r="J290"/>
      <c r="K290"/>
    </row>
    <row r="291" spans="1:11" x14ac:dyDescent="0.3">
      <c r="A291" s="93"/>
      <c r="D291" s="17">
        <v>1728</v>
      </c>
      <c r="E291" s="17" t="s">
        <v>94</v>
      </c>
      <c r="F291" s="13">
        <v>46087</v>
      </c>
      <c r="G291">
        <f>G290+D291</f>
        <v>-272</v>
      </c>
      <c r="H291" s="15"/>
      <c r="I291"/>
      <c r="J291"/>
      <c r="K291"/>
    </row>
    <row r="292" spans="1:11" x14ac:dyDescent="0.3">
      <c r="A292" s="93"/>
      <c r="D292" s="17">
        <v>272</v>
      </c>
      <c r="E292" s="17" t="s">
        <v>95</v>
      </c>
      <c r="F292" s="13"/>
      <c r="H292" s="15"/>
      <c r="I292"/>
      <c r="J292"/>
      <c r="K292"/>
    </row>
    <row r="293" spans="1:11" x14ac:dyDescent="0.3">
      <c r="A293" s="94"/>
      <c r="B293" s="5"/>
      <c r="C293" s="5"/>
      <c r="D293" s="5"/>
      <c r="E293" s="5"/>
      <c r="F293" s="6"/>
      <c r="G293" s="5"/>
      <c r="H293" s="8"/>
      <c r="I293"/>
      <c r="J293"/>
      <c r="K293"/>
    </row>
    <row r="294" spans="1:11" x14ac:dyDescent="0.3">
      <c r="A294" s="93">
        <v>46055</v>
      </c>
      <c r="B294">
        <v>20542</v>
      </c>
      <c r="C294">
        <v>3500</v>
      </c>
      <c r="D294">
        <v>1400</v>
      </c>
      <c r="E294" t="s">
        <v>96</v>
      </c>
      <c r="F294" s="13">
        <v>46072</v>
      </c>
      <c r="G294">
        <f>C294-D294</f>
        <v>2100</v>
      </c>
      <c r="H294" s="22"/>
      <c r="I294"/>
      <c r="J294"/>
      <c r="K294"/>
    </row>
    <row r="295" spans="1:11" x14ac:dyDescent="0.3">
      <c r="A295" s="93"/>
      <c r="D295">
        <v>2100</v>
      </c>
      <c r="E295" t="s">
        <v>97</v>
      </c>
      <c r="F295" s="13">
        <v>46076</v>
      </c>
      <c r="G295">
        <f>G294-D295</f>
        <v>0</v>
      </c>
      <c r="H295" s="22" t="s">
        <v>11</v>
      </c>
      <c r="I295"/>
      <c r="J295"/>
      <c r="K295"/>
    </row>
    <row r="296" spans="1:11" x14ac:dyDescent="0.3">
      <c r="A296" s="40"/>
      <c r="B296" s="5"/>
      <c r="C296" s="5"/>
      <c r="D296" s="5"/>
      <c r="E296" s="5"/>
      <c r="F296" s="6"/>
      <c r="G296" s="5"/>
      <c r="H296" s="8"/>
      <c r="I296"/>
      <c r="J296"/>
      <c r="K296"/>
    </row>
    <row r="297" spans="1:11" x14ac:dyDescent="0.3">
      <c r="A297" s="133"/>
      <c r="B297" s="117"/>
      <c r="F297" s="13"/>
      <c r="H297" s="15"/>
      <c r="I297"/>
      <c r="J297"/>
      <c r="K297"/>
    </row>
    <row r="298" spans="1:11" x14ac:dyDescent="0.3">
      <c r="A298" s="133"/>
      <c r="B298" s="117"/>
      <c r="F298" s="13"/>
      <c r="H298" s="15"/>
      <c r="I298"/>
      <c r="J298"/>
      <c r="K298"/>
    </row>
    <row r="299" spans="1:11" x14ac:dyDescent="0.3">
      <c r="A299" s="133"/>
      <c r="B299" s="117"/>
      <c r="F299" s="13"/>
      <c r="H299" s="15"/>
      <c r="I299"/>
      <c r="J299"/>
      <c r="K299"/>
    </row>
    <row r="300" spans="1:11" ht="16.2" thickBot="1" x14ac:dyDescent="0.35">
      <c r="A300" s="24"/>
      <c r="B300" s="25"/>
      <c r="C300" s="25"/>
      <c r="D300" s="112" t="s">
        <v>16</v>
      </c>
      <c r="E300" s="112"/>
      <c r="F300" s="112"/>
      <c r="G300" s="70">
        <v>2000</v>
      </c>
      <c r="H300" s="28"/>
      <c r="I300"/>
      <c r="J300"/>
      <c r="K300"/>
    </row>
    <row r="301" spans="1:11" ht="15" thickBot="1" x14ac:dyDescent="0.35">
      <c r="I301"/>
      <c r="J301"/>
      <c r="K301"/>
    </row>
    <row r="302" spans="1:11" x14ac:dyDescent="0.3">
      <c r="A302" s="109" t="s">
        <v>98</v>
      </c>
      <c r="B302" s="110"/>
      <c r="C302" s="110"/>
      <c r="D302" s="110"/>
      <c r="E302" s="110"/>
      <c r="F302" s="110"/>
      <c r="G302" s="110"/>
      <c r="H302" s="111"/>
      <c r="I302"/>
      <c r="J302"/>
      <c r="K302"/>
    </row>
    <row r="303" spans="1:11" ht="15" thickBot="1" x14ac:dyDescent="0.35">
      <c r="A303" s="135"/>
      <c r="B303" s="136"/>
      <c r="C303" s="136"/>
      <c r="D303" s="136"/>
      <c r="E303" s="136"/>
      <c r="F303" s="136"/>
      <c r="G303" s="136"/>
      <c r="H303" s="137"/>
      <c r="I303"/>
      <c r="J303"/>
      <c r="K303"/>
    </row>
    <row r="304" spans="1:11" ht="47.4" thickBot="1" x14ac:dyDescent="0.35">
      <c r="A304" s="1" t="s">
        <v>1</v>
      </c>
      <c r="B304" s="1" t="s">
        <v>2</v>
      </c>
      <c r="C304" s="1" t="s">
        <v>3</v>
      </c>
      <c r="D304" s="1" t="s">
        <v>4</v>
      </c>
      <c r="E304" s="1" t="s">
        <v>5</v>
      </c>
      <c r="F304" s="1" t="s">
        <v>6</v>
      </c>
      <c r="G304" s="1" t="s">
        <v>7</v>
      </c>
      <c r="H304" s="2" t="s">
        <v>8</v>
      </c>
      <c r="I304"/>
      <c r="J304"/>
      <c r="K304"/>
    </row>
    <row r="305" spans="1:11" x14ac:dyDescent="0.3">
      <c r="A305" s="91">
        <v>45975</v>
      </c>
      <c r="B305" s="92">
        <v>19850</v>
      </c>
      <c r="C305" s="92">
        <v>1500</v>
      </c>
      <c r="D305">
        <v>1500</v>
      </c>
      <c r="E305" t="s">
        <v>85</v>
      </c>
      <c r="F305" s="13">
        <v>45995</v>
      </c>
      <c r="G305">
        <f>C305-D305</f>
        <v>0</v>
      </c>
      <c r="H305" s="15" t="s">
        <v>29</v>
      </c>
      <c r="I305"/>
      <c r="J305"/>
      <c r="K305"/>
    </row>
    <row r="306" spans="1:11" x14ac:dyDescent="0.3">
      <c r="A306" s="32"/>
      <c r="B306" s="33"/>
      <c r="C306" s="33"/>
      <c r="D306" s="5"/>
      <c r="E306" s="5"/>
      <c r="F306" s="6"/>
      <c r="G306" s="5"/>
      <c r="H306" s="8"/>
      <c r="I306"/>
      <c r="J306"/>
      <c r="K306"/>
    </row>
    <row r="307" spans="1:11" x14ac:dyDescent="0.3">
      <c r="A307" s="34">
        <v>45975</v>
      </c>
      <c r="B307" s="19">
        <v>19851</v>
      </c>
      <c r="C307" s="19">
        <v>1700</v>
      </c>
      <c r="D307">
        <v>1700</v>
      </c>
      <c r="E307" s="21" t="s">
        <v>86</v>
      </c>
      <c r="F307" s="13">
        <v>46386</v>
      </c>
      <c r="G307">
        <f>C307-D307</f>
        <v>0</v>
      </c>
      <c r="H307" s="15" t="s">
        <v>46</v>
      </c>
      <c r="I307"/>
      <c r="J307"/>
      <c r="K307"/>
    </row>
    <row r="308" spans="1:11" ht="17.399999999999999" customHeight="1" x14ac:dyDescent="0.3">
      <c r="A308" s="37"/>
      <c r="B308" s="33"/>
      <c r="C308" s="33"/>
      <c r="D308" s="5"/>
      <c r="E308" s="89"/>
      <c r="F308" s="6"/>
      <c r="G308" s="5"/>
      <c r="H308" s="8"/>
      <c r="I308"/>
      <c r="J308"/>
      <c r="K308"/>
    </row>
    <row r="309" spans="1:11" ht="18" customHeight="1" x14ac:dyDescent="0.3">
      <c r="A309" s="34">
        <v>45975</v>
      </c>
      <c r="B309" s="19">
        <v>19997</v>
      </c>
      <c r="C309" s="19">
        <v>2000</v>
      </c>
      <c r="D309">
        <v>2000</v>
      </c>
      <c r="E309" s="21" t="s">
        <v>88</v>
      </c>
      <c r="F309" s="13">
        <v>46001</v>
      </c>
      <c r="G309">
        <f>C309-D309</f>
        <v>0</v>
      </c>
      <c r="H309" s="15" t="s">
        <v>29</v>
      </c>
      <c r="I309"/>
      <c r="J309"/>
      <c r="K309"/>
    </row>
    <row r="310" spans="1:11" x14ac:dyDescent="0.3">
      <c r="A310" s="37"/>
      <c r="B310" s="33"/>
      <c r="C310" s="33"/>
      <c r="D310" s="5"/>
      <c r="E310" s="89"/>
      <c r="F310" s="6"/>
      <c r="G310" s="5"/>
      <c r="H310" s="8"/>
      <c r="I310"/>
      <c r="J310"/>
      <c r="K310"/>
    </row>
    <row r="311" spans="1:11" x14ac:dyDescent="0.3">
      <c r="A311" s="40"/>
      <c r="B311" s="5"/>
      <c r="C311" s="5"/>
      <c r="D311" s="5"/>
      <c r="E311" s="5"/>
      <c r="F311" s="6"/>
      <c r="G311" s="5"/>
      <c r="H311" s="8"/>
      <c r="I311"/>
      <c r="J311"/>
      <c r="K311"/>
    </row>
    <row r="312" spans="1:11" x14ac:dyDescent="0.3">
      <c r="A312" s="93" t="s">
        <v>89</v>
      </c>
      <c r="B312">
        <v>20402</v>
      </c>
      <c r="C312">
        <v>3500</v>
      </c>
      <c r="D312">
        <v>200</v>
      </c>
      <c r="E312" t="s">
        <v>99</v>
      </c>
      <c r="F312" s="13">
        <v>46049</v>
      </c>
      <c r="G312">
        <f>C312-D312</f>
        <v>3300</v>
      </c>
      <c r="H312" s="15"/>
      <c r="I312"/>
      <c r="J312"/>
      <c r="K312"/>
    </row>
    <row r="313" spans="1:11" x14ac:dyDescent="0.3">
      <c r="A313" s="93"/>
      <c r="D313">
        <v>2600</v>
      </c>
      <c r="E313" t="s">
        <v>91</v>
      </c>
      <c r="F313" s="13">
        <v>46051</v>
      </c>
      <c r="G313">
        <f>G312-D313</f>
        <v>700</v>
      </c>
      <c r="H313" s="15"/>
      <c r="I313"/>
      <c r="J313"/>
      <c r="K313"/>
    </row>
    <row r="314" spans="1:11" x14ac:dyDescent="0.3">
      <c r="A314" s="93"/>
      <c r="D314">
        <v>515</v>
      </c>
      <c r="E314" t="s">
        <v>100</v>
      </c>
      <c r="F314" s="13">
        <v>46066</v>
      </c>
      <c r="G314">
        <f>G313-D314</f>
        <v>185</v>
      </c>
      <c r="H314" s="15"/>
      <c r="I314"/>
      <c r="J314"/>
      <c r="K314"/>
    </row>
    <row r="315" spans="1:11" x14ac:dyDescent="0.3">
      <c r="A315" s="93"/>
      <c r="D315">
        <v>185</v>
      </c>
      <c r="E315" t="s">
        <v>92</v>
      </c>
      <c r="F315" s="13">
        <v>46071</v>
      </c>
      <c r="G315">
        <v>0</v>
      </c>
      <c r="H315" s="15"/>
      <c r="I315"/>
      <c r="J315"/>
      <c r="K315"/>
    </row>
    <row r="316" spans="1:11" x14ac:dyDescent="0.3">
      <c r="A316" s="93"/>
      <c r="D316">
        <v>800</v>
      </c>
      <c r="E316" t="s">
        <v>93</v>
      </c>
      <c r="F316" s="13">
        <v>46079</v>
      </c>
      <c r="G316">
        <v>800</v>
      </c>
      <c r="H316" s="15"/>
      <c r="I316"/>
      <c r="J316"/>
      <c r="K316"/>
    </row>
    <row r="317" spans="1:11" x14ac:dyDescent="0.3">
      <c r="A317" s="93"/>
      <c r="D317">
        <v>800</v>
      </c>
      <c r="E317" t="s">
        <v>101</v>
      </c>
      <c r="F317" s="13">
        <v>46087</v>
      </c>
      <c r="G317">
        <f>G316-D317</f>
        <v>0</v>
      </c>
      <c r="H317" s="15" t="s">
        <v>11</v>
      </c>
      <c r="I317"/>
      <c r="J317"/>
      <c r="K317"/>
    </row>
    <row r="318" spans="1:11" x14ac:dyDescent="0.3">
      <c r="A318" s="94"/>
      <c r="B318" s="5"/>
      <c r="C318" s="5"/>
      <c r="D318" s="5"/>
      <c r="E318" s="5"/>
      <c r="F318" s="6"/>
      <c r="G318" s="5"/>
      <c r="H318" s="8"/>
      <c r="I318"/>
      <c r="J318"/>
      <c r="K318"/>
    </row>
    <row r="319" spans="1:11" x14ac:dyDescent="0.3">
      <c r="A319" s="93">
        <v>46056</v>
      </c>
      <c r="B319">
        <v>20542</v>
      </c>
      <c r="C319">
        <v>3500</v>
      </c>
      <c r="D319">
        <v>2800</v>
      </c>
      <c r="E319" t="s">
        <v>102</v>
      </c>
      <c r="F319" s="13">
        <v>46072</v>
      </c>
      <c r="G319">
        <f>C319-D319</f>
        <v>700</v>
      </c>
      <c r="H319" s="22"/>
      <c r="I319"/>
      <c r="J319"/>
      <c r="K319"/>
    </row>
    <row r="320" spans="1:11" x14ac:dyDescent="0.3">
      <c r="A320" s="93"/>
      <c r="D320">
        <v>700</v>
      </c>
      <c r="E320" t="s">
        <v>103</v>
      </c>
      <c r="F320" s="13">
        <v>46076</v>
      </c>
      <c r="G320">
        <f>G319-D320</f>
        <v>0</v>
      </c>
      <c r="H320" s="22" t="s">
        <v>11</v>
      </c>
      <c r="I320"/>
      <c r="J320"/>
      <c r="K320"/>
    </row>
    <row r="321" spans="1:11" x14ac:dyDescent="0.3">
      <c r="A321" s="40"/>
      <c r="B321" s="5"/>
      <c r="C321" s="5"/>
      <c r="D321" s="5"/>
      <c r="E321" s="5"/>
      <c r="F321" s="6"/>
      <c r="G321" s="5"/>
      <c r="H321" s="8"/>
      <c r="I321"/>
      <c r="J321"/>
      <c r="K321"/>
    </row>
    <row r="322" spans="1:11" x14ac:dyDescent="0.3">
      <c r="A322" s="43"/>
      <c r="E322" t="s">
        <v>104</v>
      </c>
      <c r="F322" s="13"/>
      <c r="H322" s="15"/>
      <c r="I322"/>
      <c r="J322"/>
      <c r="K322"/>
    </row>
    <row r="323" spans="1:11" x14ac:dyDescent="0.3">
      <c r="A323" s="43"/>
      <c r="F323" s="13"/>
      <c r="H323" s="15"/>
      <c r="I323"/>
      <c r="J323"/>
      <c r="K323"/>
    </row>
    <row r="324" spans="1:11" ht="16.2" thickBot="1" x14ac:dyDescent="0.35">
      <c r="A324" s="24"/>
      <c r="B324" s="25"/>
      <c r="C324" s="25"/>
      <c r="D324" s="112" t="s">
        <v>16</v>
      </c>
      <c r="E324" s="112"/>
      <c r="F324" s="112"/>
      <c r="G324" s="70">
        <v>0</v>
      </c>
      <c r="H324" s="28"/>
      <c r="I324"/>
      <c r="J324"/>
      <c r="K324"/>
    </row>
    <row r="325" spans="1:11" ht="15" thickBot="1" x14ac:dyDescent="0.35">
      <c r="I325"/>
      <c r="J325"/>
      <c r="K325"/>
    </row>
    <row r="326" spans="1:11" x14ac:dyDescent="0.3">
      <c r="A326" s="109" t="s">
        <v>105</v>
      </c>
      <c r="B326" s="110"/>
      <c r="C326" s="110"/>
      <c r="D326" s="110"/>
      <c r="E326" s="110"/>
      <c r="F326" s="110"/>
      <c r="G326" s="110"/>
      <c r="H326" s="111"/>
      <c r="I326"/>
      <c r="J326"/>
      <c r="K326"/>
    </row>
    <row r="327" spans="1:11" ht="15" thickBot="1" x14ac:dyDescent="0.35">
      <c r="A327" s="123"/>
      <c r="B327" s="124"/>
      <c r="C327" s="124"/>
      <c r="D327" s="124"/>
      <c r="E327" s="124"/>
      <c r="F327" s="124"/>
      <c r="G327" s="124"/>
      <c r="H327" s="125"/>
      <c r="I327"/>
      <c r="J327"/>
      <c r="K327"/>
    </row>
    <row r="328" spans="1:11" ht="47.4" thickBot="1" x14ac:dyDescent="0.35">
      <c r="A328" s="1" t="s">
        <v>1</v>
      </c>
      <c r="B328" s="1" t="s">
        <v>2</v>
      </c>
      <c r="C328" s="1" t="s">
        <v>3</v>
      </c>
      <c r="D328" s="1" t="s">
        <v>4</v>
      </c>
      <c r="E328" s="1" t="s">
        <v>5</v>
      </c>
      <c r="F328" s="1" t="s">
        <v>6</v>
      </c>
      <c r="G328" s="1" t="s">
        <v>7</v>
      </c>
      <c r="H328" s="2" t="s">
        <v>8</v>
      </c>
      <c r="I328"/>
      <c r="J328"/>
      <c r="K328"/>
    </row>
    <row r="329" spans="1:11" ht="17.399999999999999" customHeight="1" x14ac:dyDescent="0.3">
      <c r="A329" s="91">
        <v>45975</v>
      </c>
      <c r="B329" s="92">
        <v>19850</v>
      </c>
      <c r="C329" s="92">
        <v>1500</v>
      </c>
      <c r="D329">
        <v>600</v>
      </c>
      <c r="E329" t="s">
        <v>106</v>
      </c>
      <c r="F329" s="13"/>
      <c r="G329">
        <f>C329-D329</f>
        <v>900</v>
      </c>
      <c r="H329" s="15" t="s">
        <v>29</v>
      </c>
      <c r="I329"/>
      <c r="J329"/>
      <c r="K329"/>
    </row>
    <row r="330" spans="1:11" ht="18" customHeight="1" x14ac:dyDescent="0.3">
      <c r="A330" s="12"/>
      <c r="D330">
        <v>900</v>
      </c>
      <c r="E330" t="s">
        <v>107</v>
      </c>
      <c r="F330" s="13"/>
      <c r="G330">
        <f>G329-D330</f>
        <v>0</v>
      </c>
      <c r="H330" s="15"/>
      <c r="I330"/>
      <c r="J330"/>
      <c r="K330"/>
    </row>
    <row r="331" spans="1:11" x14ac:dyDescent="0.3">
      <c r="A331" s="32"/>
      <c r="B331" s="33"/>
      <c r="C331" s="33"/>
      <c r="D331" s="5"/>
      <c r="E331" s="5"/>
      <c r="F331" s="6"/>
      <c r="G331" s="5"/>
      <c r="H331" s="8"/>
      <c r="I331"/>
      <c r="J331"/>
      <c r="K331"/>
    </row>
    <row r="332" spans="1:11" x14ac:dyDescent="0.3">
      <c r="A332" s="34">
        <v>45975</v>
      </c>
      <c r="B332" s="19">
        <v>19851</v>
      </c>
      <c r="C332" s="19">
        <v>1500</v>
      </c>
      <c r="D332">
        <v>1500</v>
      </c>
      <c r="E332" s="21" t="s">
        <v>86</v>
      </c>
      <c r="F332" s="13">
        <v>46386</v>
      </c>
      <c r="G332">
        <f>C332-D332</f>
        <v>0</v>
      </c>
      <c r="H332" s="15" t="s">
        <v>29</v>
      </c>
      <c r="I332"/>
      <c r="J332"/>
      <c r="K332"/>
    </row>
    <row r="333" spans="1:11" x14ac:dyDescent="0.3">
      <c r="A333" s="34"/>
      <c r="B333" s="19"/>
      <c r="C333" s="19"/>
      <c r="E333" s="21"/>
      <c r="F333" s="13"/>
      <c r="H333" s="15"/>
      <c r="I333"/>
      <c r="J333"/>
      <c r="K333"/>
    </row>
    <row r="334" spans="1:11" x14ac:dyDescent="0.3">
      <c r="A334" s="37"/>
      <c r="B334" s="33"/>
      <c r="C334" s="33"/>
      <c r="D334" s="5"/>
      <c r="E334" s="89"/>
      <c r="F334" s="6"/>
      <c r="G334" s="5"/>
      <c r="H334" s="8"/>
      <c r="I334"/>
      <c r="J334"/>
      <c r="K334"/>
    </row>
    <row r="335" spans="1:11" x14ac:dyDescent="0.3">
      <c r="A335" s="34">
        <v>45975</v>
      </c>
      <c r="B335" s="19">
        <v>19997</v>
      </c>
      <c r="C335" s="19">
        <v>2000</v>
      </c>
      <c r="D335">
        <v>2000</v>
      </c>
      <c r="E335" s="21" t="s">
        <v>88</v>
      </c>
      <c r="F335" s="13">
        <v>46001</v>
      </c>
      <c r="G335">
        <f>C335-D335</f>
        <v>0</v>
      </c>
      <c r="H335" s="15" t="s">
        <v>29</v>
      </c>
      <c r="I335"/>
      <c r="J335"/>
      <c r="K335"/>
    </row>
    <row r="336" spans="1:11" x14ac:dyDescent="0.3">
      <c r="A336" s="34"/>
      <c r="B336" s="19"/>
      <c r="C336" s="19"/>
      <c r="E336" s="21"/>
      <c r="F336" s="13"/>
      <c r="H336" s="15"/>
      <c r="I336"/>
      <c r="J336"/>
      <c r="K336"/>
    </row>
    <row r="337" spans="1:11" x14ac:dyDescent="0.3">
      <c r="A337" s="37"/>
      <c r="B337" s="33"/>
      <c r="C337" s="33"/>
      <c r="D337" s="5"/>
      <c r="E337" s="89"/>
      <c r="F337" s="6"/>
      <c r="G337" s="5"/>
      <c r="H337" s="8"/>
      <c r="I337"/>
      <c r="J337"/>
      <c r="K337"/>
    </row>
    <row r="338" spans="1:11" x14ac:dyDescent="0.3">
      <c r="A338" s="12">
        <v>46041</v>
      </c>
      <c r="B338">
        <v>20402</v>
      </c>
      <c r="C338">
        <v>3000</v>
      </c>
      <c r="D338">
        <v>400</v>
      </c>
      <c r="E338" t="s">
        <v>90</v>
      </c>
      <c r="F338" s="13">
        <v>46049</v>
      </c>
      <c r="G338">
        <f>C338-D338</f>
        <v>2600</v>
      </c>
      <c r="H338" s="15"/>
      <c r="I338"/>
      <c r="J338"/>
      <c r="K338"/>
    </row>
    <row r="339" spans="1:11" x14ac:dyDescent="0.3">
      <c r="A339" s="12"/>
      <c r="D339">
        <v>2300</v>
      </c>
      <c r="E339" t="s">
        <v>100</v>
      </c>
      <c r="F339" s="13">
        <v>46066</v>
      </c>
      <c r="G339">
        <f>G338-D339</f>
        <v>300</v>
      </c>
      <c r="H339" s="15"/>
      <c r="I339"/>
      <c r="J339"/>
      <c r="K339"/>
    </row>
    <row r="340" spans="1:11" x14ac:dyDescent="0.3">
      <c r="A340" s="12"/>
      <c r="D340">
        <v>300</v>
      </c>
      <c r="E340" t="s">
        <v>92</v>
      </c>
      <c r="F340" s="13">
        <v>46071</v>
      </c>
      <c r="G340">
        <v>0</v>
      </c>
      <c r="H340" s="15"/>
      <c r="I340"/>
      <c r="J340"/>
      <c r="K340"/>
    </row>
    <row r="341" spans="1:11" x14ac:dyDescent="0.3">
      <c r="A341" s="12"/>
      <c r="D341">
        <v>2800</v>
      </c>
      <c r="E341" t="s">
        <v>93</v>
      </c>
      <c r="F341" s="13">
        <v>46079</v>
      </c>
      <c r="G341">
        <v>2800</v>
      </c>
      <c r="H341" s="15"/>
      <c r="I341"/>
      <c r="J341"/>
      <c r="K341"/>
    </row>
    <row r="342" spans="1:11" x14ac:dyDescent="0.3">
      <c r="A342" s="12"/>
      <c r="D342" s="17">
        <v>2800</v>
      </c>
      <c r="E342" s="17" t="s">
        <v>101</v>
      </c>
      <c r="F342" s="13">
        <v>46087</v>
      </c>
      <c r="G342">
        <f>G341-D342</f>
        <v>0</v>
      </c>
      <c r="H342" s="15" t="s">
        <v>11</v>
      </c>
      <c r="I342"/>
      <c r="J342"/>
      <c r="K342"/>
    </row>
    <row r="343" spans="1:11" x14ac:dyDescent="0.3">
      <c r="A343" s="95"/>
      <c r="B343" s="96"/>
      <c r="C343" s="96"/>
      <c r="D343" s="96"/>
      <c r="E343" s="96"/>
      <c r="F343" s="97"/>
      <c r="G343" s="96"/>
      <c r="H343" s="36"/>
      <c r="I343"/>
      <c r="J343"/>
      <c r="K343"/>
    </row>
    <row r="344" spans="1:11" x14ac:dyDescent="0.3">
      <c r="A344" s="12">
        <v>46056</v>
      </c>
      <c r="B344">
        <v>20542</v>
      </c>
      <c r="C344">
        <v>3000</v>
      </c>
      <c r="D344">
        <v>2000</v>
      </c>
      <c r="E344" t="s">
        <v>102</v>
      </c>
      <c r="F344" s="13">
        <v>46072</v>
      </c>
      <c r="G344">
        <f>C344-D344</f>
        <v>1000</v>
      </c>
      <c r="H344" s="22"/>
      <c r="I344"/>
      <c r="J344"/>
      <c r="K344"/>
    </row>
    <row r="345" spans="1:11" x14ac:dyDescent="0.3">
      <c r="A345" s="12"/>
      <c r="D345">
        <v>1000</v>
      </c>
      <c r="E345" t="s">
        <v>108</v>
      </c>
      <c r="F345" s="13">
        <v>46076</v>
      </c>
      <c r="G345">
        <f>G344-D345</f>
        <v>0</v>
      </c>
      <c r="H345" s="22"/>
      <c r="I345"/>
      <c r="J345"/>
      <c r="K345"/>
    </row>
    <row r="346" spans="1:11" x14ac:dyDescent="0.3">
      <c r="A346" s="12"/>
      <c r="D346">
        <v>500</v>
      </c>
      <c r="E346" t="s">
        <v>109</v>
      </c>
      <c r="F346" s="13">
        <v>46076</v>
      </c>
      <c r="G346">
        <v>500</v>
      </c>
      <c r="H346" s="22" t="s">
        <v>11</v>
      </c>
      <c r="I346"/>
      <c r="J346"/>
      <c r="K346"/>
    </row>
    <row r="347" spans="1:11" x14ac:dyDescent="0.3">
      <c r="A347" s="40"/>
      <c r="B347" s="5"/>
      <c r="C347" s="5"/>
      <c r="D347" s="5"/>
      <c r="E347" s="5"/>
      <c r="F347" s="5"/>
      <c r="G347" s="5"/>
      <c r="H347" s="98"/>
      <c r="I347"/>
      <c r="J347"/>
      <c r="K347"/>
    </row>
    <row r="348" spans="1:11" ht="16.2" thickBot="1" x14ac:dyDescent="0.35">
      <c r="A348" s="24"/>
      <c r="B348" s="25"/>
      <c r="C348" s="112" t="s">
        <v>16</v>
      </c>
      <c r="D348" s="112"/>
      <c r="E348" s="112"/>
      <c r="F348" s="112"/>
      <c r="G348" s="70">
        <v>0</v>
      </c>
      <c r="H348" s="99"/>
      <c r="I348"/>
      <c r="J348"/>
      <c r="K348"/>
    </row>
    <row r="349" spans="1:11" x14ac:dyDescent="0.3">
      <c r="I349"/>
      <c r="J349"/>
      <c r="K349"/>
    </row>
    <row r="350" spans="1:11" ht="17.399999999999999" customHeight="1" x14ac:dyDescent="0.3">
      <c r="I350"/>
      <c r="J350"/>
      <c r="K350"/>
    </row>
    <row r="351" spans="1:11" ht="18" customHeight="1" x14ac:dyDescent="0.3">
      <c r="I351"/>
      <c r="J351"/>
      <c r="K351"/>
    </row>
    <row r="352" spans="1:11" x14ac:dyDescent="0.3">
      <c r="I352"/>
      <c r="J352"/>
      <c r="K352"/>
    </row>
    <row r="353" spans="9:11" x14ac:dyDescent="0.3">
      <c r="I353"/>
      <c r="J353"/>
      <c r="K353"/>
    </row>
    <row r="354" spans="9:11" x14ac:dyDescent="0.3">
      <c r="I354"/>
      <c r="J354"/>
      <c r="K354"/>
    </row>
    <row r="355" spans="9:11" x14ac:dyDescent="0.3">
      <c r="I355"/>
      <c r="J355"/>
      <c r="K355"/>
    </row>
    <row r="356" spans="9:11" x14ac:dyDescent="0.3">
      <c r="I356"/>
      <c r="J356"/>
      <c r="K356"/>
    </row>
    <row r="357" spans="9:11" x14ac:dyDescent="0.3">
      <c r="I357"/>
      <c r="J357"/>
      <c r="K357"/>
    </row>
    <row r="358" spans="9:11" x14ac:dyDescent="0.3">
      <c r="I358"/>
      <c r="J358"/>
      <c r="K358"/>
    </row>
    <row r="359" spans="9:11" x14ac:dyDescent="0.3">
      <c r="I359"/>
      <c r="J359"/>
      <c r="K359"/>
    </row>
    <row r="360" spans="9:11" x14ac:dyDescent="0.3">
      <c r="I360"/>
      <c r="J360"/>
      <c r="K360"/>
    </row>
    <row r="361" spans="9:11" x14ac:dyDescent="0.3">
      <c r="I361"/>
      <c r="J361"/>
      <c r="K361"/>
    </row>
    <row r="362" spans="9:11" x14ac:dyDescent="0.3">
      <c r="I362"/>
      <c r="J362"/>
      <c r="K362"/>
    </row>
    <row r="363" spans="9:11" ht="17.399999999999999" customHeight="1" x14ac:dyDescent="0.3">
      <c r="I363"/>
      <c r="J363"/>
      <c r="K363"/>
    </row>
    <row r="364" spans="9:11" ht="18" customHeight="1" x14ac:dyDescent="0.3">
      <c r="I364"/>
      <c r="J364"/>
      <c r="K364"/>
    </row>
    <row r="365" spans="9:11" x14ac:dyDescent="0.3">
      <c r="I365"/>
      <c r="J365"/>
      <c r="K365"/>
    </row>
    <row r="366" spans="9:11" x14ac:dyDescent="0.3">
      <c r="I366"/>
      <c r="J366"/>
      <c r="K366"/>
    </row>
    <row r="367" spans="9:11" x14ac:dyDescent="0.3">
      <c r="I367"/>
      <c r="J367"/>
      <c r="K367"/>
    </row>
    <row r="368" spans="9:11" x14ac:dyDescent="0.3">
      <c r="I368"/>
      <c r="J368"/>
      <c r="K368"/>
    </row>
    <row r="369" spans="9:11" x14ac:dyDescent="0.3">
      <c r="I369"/>
      <c r="J369"/>
      <c r="K369"/>
    </row>
    <row r="370" spans="9:11" x14ac:dyDescent="0.3">
      <c r="I370"/>
      <c r="J370"/>
      <c r="K370"/>
    </row>
    <row r="371" spans="9:11" ht="17.399999999999999" customHeight="1" x14ac:dyDescent="0.3">
      <c r="I371"/>
      <c r="J371"/>
      <c r="K371"/>
    </row>
    <row r="372" spans="9:11" ht="18" customHeight="1" x14ac:dyDescent="0.3">
      <c r="I372"/>
      <c r="J372"/>
      <c r="K372"/>
    </row>
    <row r="373" spans="9:11" x14ac:dyDescent="0.3">
      <c r="I373"/>
      <c r="J373"/>
      <c r="K373"/>
    </row>
    <row r="374" spans="9:11" ht="18" customHeight="1" x14ac:dyDescent="0.3">
      <c r="I374"/>
      <c r="J374"/>
      <c r="K374"/>
    </row>
    <row r="375" spans="9:11" ht="18" customHeight="1" x14ac:dyDescent="0.3">
      <c r="I375"/>
      <c r="J375"/>
      <c r="K375"/>
    </row>
    <row r="376" spans="9:11" x14ac:dyDescent="0.3">
      <c r="I376"/>
      <c r="J376"/>
      <c r="K376"/>
    </row>
    <row r="377" spans="9:11" x14ac:dyDescent="0.3">
      <c r="I377"/>
      <c r="J377"/>
      <c r="K377"/>
    </row>
    <row r="378" spans="9:11" x14ac:dyDescent="0.3">
      <c r="I378"/>
      <c r="J378"/>
      <c r="K378"/>
    </row>
    <row r="379" spans="9:11" ht="17.399999999999999" customHeight="1" x14ac:dyDescent="0.3">
      <c r="I379"/>
      <c r="J379"/>
      <c r="K379"/>
    </row>
    <row r="380" spans="9:11" ht="15" customHeight="1" x14ac:dyDescent="0.3">
      <c r="I380"/>
      <c r="J380"/>
      <c r="K380"/>
    </row>
    <row r="381" spans="9:11" x14ac:dyDescent="0.3">
      <c r="I381"/>
      <c r="J381"/>
      <c r="K381"/>
    </row>
    <row r="382" spans="9:11" x14ac:dyDescent="0.3">
      <c r="I382"/>
      <c r="J382"/>
      <c r="K382"/>
    </row>
    <row r="383" spans="9:11" x14ac:dyDescent="0.3">
      <c r="I383"/>
      <c r="J383"/>
      <c r="K383"/>
    </row>
    <row r="384" spans="9:11" x14ac:dyDescent="0.3">
      <c r="I384"/>
      <c r="J384"/>
      <c r="K384"/>
    </row>
    <row r="385" spans="9:11" x14ac:dyDescent="0.3">
      <c r="I385"/>
      <c r="J385"/>
      <c r="K385"/>
    </row>
    <row r="386" spans="9:11" x14ac:dyDescent="0.3">
      <c r="I386"/>
      <c r="J386"/>
      <c r="K386"/>
    </row>
    <row r="387" spans="9:11" x14ac:dyDescent="0.3">
      <c r="I387"/>
      <c r="J387"/>
      <c r="K387"/>
    </row>
    <row r="388" spans="9:11" ht="17.399999999999999" customHeight="1" x14ac:dyDescent="0.3">
      <c r="I388"/>
      <c r="J388"/>
      <c r="K388"/>
    </row>
    <row r="389" spans="9:11" ht="18" customHeight="1" x14ac:dyDescent="0.3">
      <c r="I389"/>
      <c r="J389"/>
      <c r="K389"/>
    </row>
    <row r="390" spans="9:11" x14ac:dyDescent="0.3">
      <c r="I390"/>
      <c r="J390"/>
      <c r="K390"/>
    </row>
    <row r="391" spans="9:11" x14ac:dyDescent="0.3">
      <c r="I391"/>
      <c r="J391"/>
      <c r="K391"/>
    </row>
    <row r="392" spans="9:11" x14ac:dyDescent="0.3">
      <c r="I392"/>
      <c r="J392"/>
      <c r="K392"/>
    </row>
    <row r="393" spans="9:11" x14ac:dyDescent="0.3">
      <c r="I393"/>
      <c r="J393"/>
      <c r="K393"/>
    </row>
    <row r="394" spans="9:11" x14ac:dyDescent="0.3">
      <c r="I394"/>
      <c r="J394"/>
      <c r="K394"/>
    </row>
    <row r="395" spans="9:11" ht="17.399999999999999" customHeight="1" x14ac:dyDescent="0.3">
      <c r="I395"/>
      <c r="J395"/>
      <c r="K395"/>
    </row>
    <row r="396" spans="9:11" ht="18" customHeight="1" x14ac:dyDescent="0.3">
      <c r="I396"/>
      <c r="J396"/>
      <c r="K396"/>
    </row>
    <row r="397" spans="9:11" x14ac:dyDescent="0.3">
      <c r="I397"/>
      <c r="J397"/>
      <c r="K397"/>
    </row>
    <row r="398" spans="9:11" x14ac:dyDescent="0.3">
      <c r="I398"/>
      <c r="J398"/>
      <c r="K398"/>
    </row>
    <row r="399" spans="9:11" x14ac:dyDescent="0.3">
      <c r="I399"/>
      <c r="J399"/>
      <c r="K399"/>
    </row>
    <row r="400" spans="9:11" x14ac:dyDescent="0.3">
      <c r="I400"/>
      <c r="J400"/>
      <c r="K400"/>
    </row>
    <row r="401" spans="9:11" x14ac:dyDescent="0.3">
      <c r="I401"/>
      <c r="J401"/>
      <c r="K401"/>
    </row>
    <row r="402" spans="9:11" ht="17.399999999999999" customHeight="1" x14ac:dyDescent="0.3">
      <c r="I402"/>
      <c r="J402"/>
      <c r="K402"/>
    </row>
    <row r="403" spans="9:11" ht="18" customHeight="1" x14ac:dyDescent="0.3">
      <c r="I403"/>
      <c r="J403"/>
      <c r="K403"/>
    </row>
    <row r="404" spans="9:11" x14ac:dyDescent="0.3">
      <c r="I404"/>
      <c r="J404"/>
      <c r="K404"/>
    </row>
    <row r="405" spans="9:11" x14ac:dyDescent="0.3">
      <c r="I405"/>
      <c r="J405"/>
      <c r="K405"/>
    </row>
    <row r="406" spans="9:11" x14ac:dyDescent="0.3">
      <c r="I406"/>
      <c r="J406"/>
      <c r="K406"/>
    </row>
    <row r="407" spans="9:11" x14ac:dyDescent="0.3">
      <c r="I407"/>
      <c r="J407"/>
      <c r="K407"/>
    </row>
    <row r="408" spans="9:11" x14ac:dyDescent="0.3">
      <c r="I408"/>
      <c r="J408"/>
      <c r="K408"/>
    </row>
    <row r="409" spans="9:11" x14ac:dyDescent="0.3">
      <c r="I409"/>
      <c r="J409"/>
      <c r="K409"/>
    </row>
    <row r="410" spans="9:11" x14ac:dyDescent="0.3">
      <c r="I410"/>
      <c r="J410"/>
      <c r="K410"/>
    </row>
    <row r="411" spans="9:11" ht="17.399999999999999" customHeight="1" x14ac:dyDescent="0.3">
      <c r="I411"/>
      <c r="J411"/>
      <c r="K411"/>
    </row>
    <row r="412" spans="9:11" ht="18" customHeight="1" x14ac:dyDescent="0.3">
      <c r="I412"/>
      <c r="J412"/>
      <c r="K412"/>
    </row>
    <row r="413" spans="9:11" x14ac:dyDescent="0.3">
      <c r="I413"/>
      <c r="J413"/>
      <c r="K413"/>
    </row>
    <row r="414" spans="9:11" x14ac:dyDescent="0.3">
      <c r="I414"/>
      <c r="J414"/>
      <c r="K414"/>
    </row>
    <row r="415" spans="9:11" x14ac:dyDescent="0.3">
      <c r="I415"/>
      <c r="J415"/>
      <c r="K415"/>
    </row>
    <row r="416" spans="9:11" x14ac:dyDescent="0.3">
      <c r="I416"/>
      <c r="J416"/>
      <c r="K416"/>
    </row>
    <row r="417" spans="9:11" x14ac:dyDescent="0.3">
      <c r="I417"/>
      <c r="J417"/>
      <c r="K417"/>
    </row>
    <row r="418" spans="9:11" x14ac:dyDescent="0.3">
      <c r="I418"/>
      <c r="J418"/>
      <c r="K418"/>
    </row>
    <row r="419" spans="9:11" x14ac:dyDescent="0.3">
      <c r="I419"/>
      <c r="J419"/>
      <c r="K419"/>
    </row>
    <row r="420" spans="9:11" x14ac:dyDescent="0.3">
      <c r="I420"/>
      <c r="J420"/>
      <c r="K420"/>
    </row>
    <row r="421" spans="9:11" x14ac:dyDescent="0.3">
      <c r="I421"/>
      <c r="J421"/>
      <c r="K421"/>
    </row>
    <row r="422" spans="9:11" x14ac:dyDescent="0.3">
      <c r="I422"/>
      <c r="J422"/>
      <c r="K422"/>
    </row>
    <row r="423" spans="9:11" x14ac:dyDescent="0.3">
      <c r="I423"/>
      <c r="J423"/>
      <c r="K423"/>
    </row>
    <row r="424" spans="9:11" x14ac:dyDescent="0.3">
      <c r="I424"/>
      <c r="J424"/>
      <c r="K424"/>
    </row>
    <row r="425" spans="9:11" x14ac:dyDescent="0.3">
      <c r="I425"/>
      <c r="J425"/>
      <c r="K425"/>
    </row>
    <row r="426" spans="9:11" x14ac:dyDescent="0.3">
      <c r="I426"/>
      <c r="J426"/>
      <c r="K426"/>
    </row>
    <row r="427" spans="9:11" ht="17.399999999999999" customHeight="1" x14ac:dyDescent="0.3">
      <c r="I427"/>
      <c r="J427"/>
      <c r="K427"/>
    </row>
    <row r="428" spans="9:11" ht="18" customHeight="1" x14ac:dyDescent="0.3">
      <c r="I428"/>
      <c r="J428"/>
      <c r="K428"/>
    </row>
    <row r="429" spans="9:11" x14ac:dyDescent="0.3">
      <c r="I429"/>
      <c r="J429"/>
      <c r="K429"/>
    </row>
    <row r="430" spans="9:11" x14ac:dyDescent="0.3">
      <c r="I430"/>
      <c r="J430"/>
      <c r="K430"/>
    </row>
    <row r="431" spans="9:11" x14ac:dyDescent="0.3">
      <c r="I431"/>
      <c r="J431"/>
      <c r="K431"/>
    </row>
    <row r="432" spans="9:11" x14ac:dyDescent="0.3">
      <c r="I432"/>
      <c r="J432"/>
      <c r="K432"/>
    </row>
    <row r="433" spans="9:11" x14ac:dyDescent="0.3">
      <c r="I433"/>
      <c r="J433"/>
      <c r="K433"/>
    </row>
    <row r="434" spans="9:11" x14ac:dyDescent="0.3">
      <c r="I434"/>
      <c r="J434"/>
      <c r="K434"/>
    </row>
    <row r="435" spans="9:11" x14ac:dyDescent="0.3">
      <c r="I435"/>
      <c r="J435"/>
      <c r="K435"/>
    </row>
    <row r="436" spans="9:11" x14ac:dyDescent="0.3">
      <c r="I436"/>
      <c r="J436"/>
      <c r="K436"/>
    </row>
    <row r="437" spans="9:11" x14ac:dyDescent="0.3">
      <c r="I437"/>
      <c r="J437"/>
      <c r="K437"/>
    </row>
    <row r="438" spans="9:11" x14ac:dyDescent="0.3">
      <c r="I438"/>
      <c r="J438"/>
      <c r="K438"/>
    </row>
    <row r="439" spans="9:11" x14ac:dyDescent="0.3">
      <c r="I439"/>
      <c r="J439"/>
      <c r="K439"/>
    </row>
    <row r="440" spans="9:11" x14ac:dyDescent="0.3">
      <c r="I440"/>
      <c r="J440"/>
      <c r="K440"/>
    </row>
    <row r="441" spans="9:11" x14ac:dyDescent="0.3">
      <c r="I441"/>
      <c r="J441"/>
      <c r="K441"/>
    </row>
    <row r="442" spans="9:11" x14ac:dyDescent="0.3">
      <c r="I442"/>
      <c r="J442"/>
      <c r="K442"/>
    </row>
    <row r="443" spans="9:11" x14ac:dyDescent="0.3">
      <c r="I443"/>
      <c r="J443"/>
      <c r="K443"/>
    </row>
    <row r="444" spans="9:11" x14ac:dyDescent="0.3">
      <c r="I444"/>
      <c r="J444"/>
      <c r="K444"/>
    </row>
    <row r="445" spans="9:11" x14ac:dyDescent="0.3">
      <c r="I445"/>
      <c r="J445"/>
      <c r="K445"/>
    </row>
    <row r="446" spans="9:11" x14ac:dyDescent="0.3">
      <c r="I446"/>
      <c r="J446"/>
      <c r="K446"/>
    </row>
    <row r="447" spans="9:11" x14ac:dyDescent="0.3">
      <c r="I447"/>
      <c r="J447"/>
      <c r="K447"/>
    </row>
    <row r="448" spans="9:11" x14ac:dyDescent="0.3">
      <c r="I448"/>
      <c r="J448"/>
      <c r="K448"/>
    </row>
    <row r="449" spans="9:11" x14ac:dyDescent="0.3">
      <c r="I449"/>
      <c r="J449"/>
      <c r="K449"/>
    </row>
    <row r="450" spans="9:11" x14ac:dyDescent="0.3">
      <c r="I450"/>
      <c r="J450"/>
      <c r="K450"/>
    </row>
    <row r="451" spans="9:11" ht="17.399999999999999" customHeight="1" x14ac:dyDescent="0.3">
      <c r="I451"/>
      <c r="J451"/>
      <c r="K451"/>
    </row>
    <row r="452" spans="9:11" ht="18" customHeight="1" x14ac:dyDescent="0.3">
      <c r="I452"/>
      <c r="J452"/>
      <c r="K452"/>
    </row>
    <row r="453" spans="9:11" x14ac:dyDescent="0.3">
      <c r="I453"/>
      <c r="J453"/>
      <c r="K453"/>
    </row>
    <row r="454" spans="9:11" x14ac:dyDescent="0.3">
      <c r="I454"/>
      <c r="J454"/>
      <c r="K454"/>
    </row>
    <row r="455" spans="9:11" x14ac:dyDescent="0.3">
      <c r="I455"/>
      <c r="J455"/>
      <c r="K455"/>
    </row>
    <row r="456" spans="9:11" x14ac:dyDescent="0.3">
      <c r="I456"/>
      <c r="J456"/>
      <c r="K456"/>
    </row>
    <row r="457" spans="9:11" x14ac:dyDescent="0.3">
      <c r="I457"/>
      <c r="J457"/>
      <c r="K457"/>
    </row>
    <row r="458" spans="9:11" x14ac:dyDescent="0.3">
      <c r="I458"/>
      <c r="J458"/>
      <c r="K458"/>
    </row>
    <row r="459" spans="9:11" x14ac:dyDescent="0.3">
      <c r="I459"/>
      <c r="J459"/>
      <c r="K459"/>
    </row>
    <row r="460" spans="9:11" x14ac:dyDescent="0.3">
      <c r="I460"/>
      <c r="J460"/>
      <c r="K460"/>
    </row>
    <row r="461" spans="9:11" x14ac:dyDescent="0.3">
      <c r="I461"/>
      <c r="J461"/>
      <c r="K461"/>
    </row>
    <row r="462" spans="9:11" x14ac:dyDescent="0.3">
      <c r="I462"/>
      <c r="J462"/>
      <c r="K462"/>
    </row>
    <row r="463" spans="9:11" x14ac:dyDescent="0.3">
      <c r="I463"/>
      <c r="J463"/>
      <c r="K463"/>
    </row>
    <row r="464" spans="9:11" x14ac:dyDescent="0.3">
      <c r="I464"/>
      <c r="J464"/>
      <c r="K464"/>
    </row>
    <row r="465" spans="9:11" x14ac:dyDescent="0.3">
      <c r="I465"/>
      <c r="J465"/>
      <c r="K465"/>
    </row>
    <row r="466" spans="9:11" x14ac:dyDescent="0.3">
      <c r="I466"/>
      <c r="J466"/>
      <c r="K466"/>
    </row>
    <row r="467" spans="9:11" x14ac:dyDescent="0.3">
      <c r="I467"/>
      <c r="J467"/>
      <c r="K467"/>
    </row>
    <row r="468" spans="9:11" x14ac:dyDescent="0.3">
      <c r="I468"/>
      <c r="J468"/>
      <c r="K468"/>
    </row>
    <row r="469" spans="9:11" x14ac:dyDescent="0.3">
      <c r="I469"/>
      <c r="J469"/>
      <c r="K469"/>
    </row>
    <row r="470" spans="9:11" x14ac:dyDescent="0.3">
      <c r="I470"/>
      <c r="J470"/>
      <c r="K470"/>
    </row>
    <row r="471" spans="9:11" x14ac:dyDescent="0.3">
      <c r="I471"/>
      <c r="J471"/>
      <c r="K471"/>
    </row>
    <row r="472" spans="9:11" x14ac:dyDescent="0.3">
      <c r="I472"/>
      <c r="J472"/>
      <c r="K472"/>
    </row>
    <row r="473" spans="9:11" x14ac:dyDescent="0.3">
      <c r="I473"/>
      <c r="J473"/>
      <c r="K473"/>
    </row>
    <row r="474" spans="9:11" x14ac:dyDescent="0.3">
      <c r="I474"/>
      <c r="J474"/>
      <c r="K474"/>
    </row>
    <row r="475" spans="9:11" x14ac:dyDescent="0.3">
      <c r="I475"/>
      <c r="J475"/>
      <c r="K475"/>
    </row>
    <row r="476" spans="9:11" x14ac:dyDescent="0.3">
      <c r="I476"/>
      <c r="J476"/>
      <c r="K476"/>
    </row>
    <row r="477" spans="9:11" x14ac:dyDescent="0.3">
      <c r="I477"/>
      <c r="J477"/>
      <c r="K477"/>
    </row>
    <row r="478" spans="9:11" x14ac:dyDescent="0.3">
      <c r="I478"/>
      <c r="J478"/>
      <c r="K478"/>
    </row>
    <row r="479" spans="9:11" x14ac:dyDescent="0.3">
      <c r="I479"/>
      <c r="J479"/>
      <c r="K479"/>
    </row>
    <row r="480" spans="9:11" x14ac:dyDescent="0.3">
      <c r="I480"/>
      <c r="J480"/>
      <c r="K480"/>
    </row>
    <row r="481" spans="9:11" x14ac:dyDescent="0.3">
      <c r="I481"/>
      <c r="J481"/>
      <c r="K481"/>
    </row>
    <row r="482" spans="9:11" x14ac:dyDescent="0.3">
      <c r="I482"/>
      <c r="J482"/>
      <c r="K482"/>
    </row>
    <row r="483" spans="9:11" x14ac:dyDescent="0.3">
      <c r="I483"/>
      <c r="J483"/>
      <c r="K483"/>
    </row>
    <row r="484" spans="9:11" x14ac:dyDescent="0.3">
      <c r="I484"/>
      <c r="J484"/>
      <c r="K484"/>
    </row>
    <row r="485" spans="9:11" x14ac:dyDescent="0.3">
      <c r="I485"/>
      <c r="J485"/>
      <c r="K485"/>
    </row>
    <row r="486" spans="9:11" x14ac:dyDescent="0.3">
      <c r="I486"/>
      <c r="J486"/>
      <c r="K486"/>
    </row>
    <row r="487" spans="9:11" ht="17.399999999999999" customHeight="1" x14ac:dyDescent="0.3">
      <c r="I487"/>
      <c r="J487"/>
      <c r="K487"/>
    </row>
    <row r="488" spans="9:11" ht="18" customHeight="1" x14ac:dyDescent="0.3">
      <c r="I488"/>
      <c r="J488"/>
      <c r="K488"/>
    </row>
    <row r="489" spans="9:11" x14ac:dyDescent="0.3">
      <c r="I489"/>
      <c r="J489"/>
      <c r="K489"/>
    </row>
    <row r="490" spans="9:11" x14ac:dyDescent="0.3">
      <c r="I490"/>
      <c r="J490"/>
      <c r="K490"/>
    </row>
    <row r="491" spans="9:11" x14ac:dyDescent="0.3">
      <c r="I491"/>
      <c r="J491"/>
      <c r="K491"/>
    </row>
    <row r="492" spans="9:11" x14ac:dyDescent="0.3">
      <c r="I492"/>
      <c r="J492"/>
      <c r="K492"/>
    </row>
    <row r="493" spans="9:11" x14ac:dyDescent="0.3">
      <c r="I493"/>
      <c r="J493"/>
      <c r="K493"/>
    </row>
    <row r="494" spans="9:11" x14ac:dyDescent="0.3">
      <c r="I494"/>
      <c r="J494"/>
      <c r="K494"/>
    </row>
    <row r="495" spans="9:11" x14ac:dyDescent="0.3">
      <c r="I495"/>
      <c r="J495"/>
      <c r="K495"/>
    </row>
    <row r="496" spans="9:11" x14ac:dyDescent="0.3">
      <c r="I496"/>
      <c r="J496"/>
      <c r="K496"/>
    </row>
    <row r="497" spans="9:11" x14ac:dyDescent="0.3">
      <c r="I497"/>
      <c r="J497"/>
      <c r="K497"/>
    </row>
    <row r="498" spans="9:11" x14ac:dyDescent="0.3">
      <c r="I498"/>
      <c r="J498"/>
      <c r="K498"/>
    </row>
    <row r="499" spans="9:11" x14ac:dyDescent="0.3">
      <c r="I499"/>
      <c r="J499"/>
      <c r="K499"/>
    </row>
    <row r="500" spans="9:11" x14ac:dyDescent="0.3">
      <c r="I500"/>
      <c r="J500"/>
      <c r="K500"/>
    </row>
    <row r="501" spans="9:11" x14ac:dyDescent="0.3">
      <c r="I501"/>
      <c r="J501"/>
      <c r="K501"/>
    </row>
    <row r="502" spans="9:11" x14ac:dyDescent="0.3">
      <c r="I502"/>
      <c r="J502"/>
      <c r="K502"/>
    </row>
    <row r="503" spans="9:11" x14ac:dyDescent="0.3">
      <c r="I503"/>
      <c r="J503"/>
      <c r="K503"/>
    </row>
    <row r="504" spans="9:11" x14ac:dyDescent="0.3">
      <c r="I504"/>
      <c r="J504"/>
      <c r="K504"/>
    </row>
    <row r="505" spans="9:11" x14ac:dyDescent="0.3">
      <c r="I505"/>
      <c r="J505"/>
      <c r="K505"/>
    </row>
    <row r="506" spans="9:11" x14ac:dyDescent="0.3">
      <c r="I506"/>
      <c r="J506"/>
      <c r="K506"/>
    </row>
    <row r="507" spans="9:11" x14ac:dyDescent="0.3">
      <c r="I507"/>
      <c r="J507"/>
      <c r="K507"/>
    </row>
    <row r="508" spans="9:11" x14ac:dyDescent="0.3">
      <c r="I508"/>
      <c r="J508"/>
      <c r="K508"/>
    </row>
    <row r="509" spans="9:11" x14ac:dyDescent="0.3">
      <c r="I509"/>
      <c r="J509"/>
      <c r="K509"/>
    </row>
    <row r="510" spans="9:11" x14ac:dyDescent="0.3">
      <c r="I510"/>
      <c r="J510"/>
      <c r="K510"/>
    </row>
    <row r="511" spans="9:11" x14ac:dyDescent="0.3">
      <c r="I511"/>
      <c r="J511"/>
      <c r="K511"/>
    </row>
    <row r="512" spans="9:11" x14ac:dyDescent="0.3">
      <c r="I512"/>
      <c r="J512"/>
      <c r="K512"/>
    </row>
    <row r="513" spans="9:11" x14ac:dyDescent="0.3">
      <c r="I513"/>
      <c r="J513"/>
      <c r="K513"/>
    </row>
    <row r="514" spans="9:11" ht="17.399999999999999" customHeight="1" x14ac:dyDescent="0.3">
      <c r="I514"/>
      <c r="J514"/>
      <c r="K514"/>
    </row>
    <row r="515" spans="9:11" ht="18" customHeight="1" x14ac:dyDescent="0.3">
      <c r="I515"/>
      <c r="J515"/>
      <c r="K515"/>
    </row>
    <row r="516" spans="9:11" x14ac:dyDescent="0.3">
      <c r="I516"/>
      <c r="J516"/>
      <c r="K516"/>
    </row>
    <row r="517" spans="9:11" x14ac:dyDescent="0.3">
      <c r="I517"/>
      <c r="J517"/>
      <c r="K517"/>
    </row>
    <row r="518" spans="9:11" x14ac:dyDescent="0.3">
      <c r="I518"/>
      <c r="J518"/>
      <c r="K518"/>
    </row>
    <row r="519" spans="9:11" x14ac:dyDescent="0.3">
      <c r="I519"/>
      <c r="J519"/>
      <c r="K519"/>
    </row>
    <row r="520" spans="9:11" x14ac:dyDescent="0.3">
      <c r="I520"/>
      <c r="J520"/>
      <c r="K520"/>
    </row>
    <row r="521" spans="9:11" ht="28.8" customHeight="1" x14ac:dyDescent="0.3">
      <c r="I521"/>
      <c r="J521"/>
      <c r="K521"/>
    </row>
    <row r="522" spans="9:11" x14ac:dyDescent="0.3">
      <c r="I522"/>
      <c r="J522"/>
      <c r="K522"/>
    </row>
    <row r="523" spans="9:11" x14ac:dyDescent="0.3">
      <c r="I523"/>
      <c r="J523"/>
      <c r="K523"/>
    </row>
    <row r="524" spans="9:11" x14ac:dyDescent="0.3">
      <c r="I524"/>
      <c r="J524"/>
      <c r="K524"/>
    </row>
    <row r="525" spans="9:11" x14ac:dyDescent="0.3">
      <c r="I525"/>
      <c r="J525"/>
      <c r="K525"/>
    </row>
    <row r="526" spans="9:11" x14ac:dyDescent="0.3">
      <c r="I526"/>
      <c r="J526"/>
      <c r="K526"/>
    </row>
    <row r="527" spans="9:11" x14ac:dyDescent="0.3">
      <c r="I527"/>
      <c r="J527"/>
      <c r="K527"/>
    </row>
    <row r="528" spans="9:11" x14ac:dyDescent="0.3">
      <c r="I528"/>
      <c r="J528"/>
      <c r="K528"/>
    </row>
    <row r="529" spans="9:11" x14ac:dyDescent="0.3">
      <c r="I529"/>
      <c r="J529"/>
      <c r="K529"/>
    </row>
    <row r="530" spans="9:11" x14ac:dyDescent="0.3">
      <c r="I530"/>
      <c r="J530"/>
      <c r="K530"/>
    </row>
    <row r="531" spans="9:11" x14ac:dyDescent="0.3">
      <c r="I531"/>
      <c r="J531"/>
      <c r="K531"/>
    </row>
    <row r="532" spans="9:11" x14ac:dyDescent="0.3">
      <c r="I532"/>
      <c r="J532"/>
      <c r="K532"/>
    </row>
    <row r="533" spans="9:11" x14ac:dyDescent="0.3">
      <c r="I533"/>
      <c r="J533"/>
      <c r="K533"/>
    </row>
    <row r="534" spans="9:11" x14ac:dyDescent="0.3">
      <c r="I534"/>
      <c r="J534"/>
      <c r="K534"/>
    </row>
    <row r="535" spans="9:11" x14ac:dyDescent="0.3">
      <c r="I535"/>
      <c r="J535"/>
      <c r="K535"/>
    </row>
    <row r="536" spans="9:11" x14ac:dyDescent="0.3">
      <c r="I536"/>
      <c r="J536"/>
      <c r="K536"/>
    </row>
    <row r="537" spans="9:11" x14ac:dyDescent="0.3">
      <c r="I537"/>
      <c r="J537"/>
      <c r="K537"/>
    </row>
    <row r="538" spans="9:11" x14ac:dyDescent="0.3">
      <c r="I538"/>
      <c r="J538"/>
      <c r="K538"/>
    </row>
    <row r="539" spans="9:11" x14ac:dyDescent="0.3">
      <c r="I539"/>
      <c r="J539"/>
      <c r="K539"/>
    </row>
    <row r="540" spans="9:11" x14ac:dyDescent="0.3">
      <c r="I540"/>
      <c r="J540"/>
      <c r="K540"/>
    </row>
    <row r="541" spans="9:11" x14ac:dyDescent="0.3">
      <c r="I541"/>
      <c r="J541"/>
      <c r="K541"/>
    </row>
    <row r="542" spans="9:11" x14ac:dyDescent="0.3">
      <c r="I542"/>
      <c r="J542"/>
      <c r="K542"/>
    </row>
    <row r="543" spans="9:11" x14ac:dyDescent="0.3">
      <c r="I543"/>
      <c r="J543"/>
      <c r="K543"/>
    </row>
    <row r="544" spans="9:11" x14ac:dyDescent="0.3">
      <c r="I544"/>
      <c r="J544"/>
      <c r="K544"/>
    </row>
    <row r="545" spans="9:11" x14ac:dyDescent="0.3">
      <c r="I545"/>
      <c r="J545"/>
      <c r="K545"/>
    </row>
    <row r="546" spans="9:11" x14ac:dyDescent="0.3">
      <c r="I546"/>
      <c r="J546"/>
      <c r="K546"/>
    </row>
    <row r="547" spans="9:11" x14ac:dyDescent="0.3">
      <c r="I547"/>
      <c r="J547"/>
      <c r="K547"/>
    </row>
    <row r="548" spans="9:11" x14ac:dyDescent="0.3">
      <c r="I548"/>
      <c r="J548"/>
      <c r="K548"/>
    </row>
    <row r="549" spans="9:11" x14ac:dyDescent="0.3">
      <c r="I549"/>
      <c r="J549"/>
      <c r="K549"/>
    </row>
    <row r="550" spans="9:11" x14ac:dyDescent="0.3">
      <c r="I550"/>
      <c r="J550"/>
      <c r="K550"/>
    </row>
    <row r="551" spans="9:11" x14ac:dyDescent="0.3">
      <c r="I551"/>
      <c r="J551"/>
      <c r="K551"/>
    </row>
    <row r="552" spans="9:11" x14ac:dyDescent="0.3">
      <c r="I552"/>
      <c r="J552"/>
      <c r="K552"/>
    </row>
    <row r="553" spans="9:11" x14ac:dyDescent="0.3">
      <c r="I553"/>
      <c r="J553"/>
      <c r="K553"/>
    </row>
    <row r="554" spans="9:11" x14ac:dyDescent="0.3">
      <c r="I554"/>
      <c r="J554"/>
      <c r="K554"/>
    </row>
    <row r="555" spans="9:11" x14ac:dyDescent="0.3">
      <c r="I555"/>
      <c r="J555"/>
      <c r="K555"/>
    </row>
    <row r="556" spans="9:11" x14ac:dyDescent="0.3">
      <c r="I556"/>
      <c r="J556"/>
      <c r="K556"/>
    </row>
    <row r="557" spans="9:11" x14ac:dyDescent="0.3">
      <c r="I557"/>
      <c r="J557"/>
      <c r="K557"/>
    </row>
    <row r="558" spans="9:11" x14ac:dyDescent="0.3">
      <c r="I558"/>
      <c r="J558"/>
      <c r="K558"/>
    </row>
    <row r="559" spans="9:11" x14ac:dyDescent="0.3">
      <c r="I559"/>
      <c r="J559"/>
      <c r="K559"/>
    </row>
    <row r="560" spans="9:11" x14ac:dyDescent="0.3">
      <c r="I560"/>
      <c r="J560"/>
      <c r="K560"/>
    </row>
    <row r="561" spans="9:11" x14ac:dyDescent="0.3">
      <c r="I561"/>
      <c r="J561"/>
      <c r="K561"/>
    </row>
    <row r="562" spans="9:11" x14ac:dyDescent="0.3">
      <c r="I562"/>
      <c r="J562"/>
      <c r="K562"/>
    </row>
    <row r="563" spans="9:11" x14ac:dyDescent="0.3">
      <c r="I563"/>
      <c r="J563"/>
      <c r="K563"/>
    </row>
    <row r="564" spans="9:11" x14ac:dyDescent="0.3">
      <c r="I564"/>
      <c r="J564"/>
      <c r="K564"/>
    </row>
    <row r="565" spans="9:11" x14ac:dyDescent="0.3">
      <c r="I565"/>
      <c r="J565"/>
      <c r="K565"/>
    </row>
    <row r="566" spans="9:11" x14ac:dyDescent="0.3">
      <c r="I566"/>
      <c r="J566"/>
      <c r="K566"/>
    </row>
    <row r="567" spans="9:11" x14ac:dyDescent="0.3">
      <c r="I567"/>
      <c r="J567"/>
      <c r="K567"/>
    </row>
    <row r="568" spans="9:11" x14ac:dyDescent="0.3">
      <c r="I568"/>
      <c r="J568"/>
      <c r="K568"/>
    </row>
    <row r="569" spans="9:11" x14ac:dyDescent="0.3">
      <c r="I569"/>
      <c r="J569"/>
      <c r="K569"/>
    </row>
    <row r="570" spans="9:11" x14ac:dyDescent="0.3">
      <c r="I570"/>
      <c r="J570"/>
      <c r="K570"/>
    </row>
    <row r="571" spans="9:11" x14ac:dyDescent="0.3">
      <c r="I571"/>
      <c r="J571"/>
      <c r="K571"/>
    </row>
    <row r="572" spans="9:11" x14ac:dyDescent="0.3">
      <c r="I572"/>
      <c r="J572"/>
      <c r="K572"/>
    </row>
    <row r="573" spans="9:11" x14ac:dyDescent="0.3">
      <c r="I573"/>
      <c r="J573"/>
      <c r="K573"/>
    </row>
    <row r="574" spans="9:11" x14ac:dyDescent="0.3">
      <c r="I574"/>
      <c r="J574"/>
      <c r="K574"/>
    </row>
    <row r="575" spans="9:11" x14ac:dyDescent="0.3">
      <c r="I575"/>
      <c r="J575"/>
      <c r="K575"/>
    </row>
    <row r="576" spans="9:11" x14ac:dyDescent="0.3">
      <c r="I576"/>
      <c r="J576"/>
      <c r="K576"/>
    </row>
    <row r="577" spans="9:11" x14ac:dyDescent="0.3">
      <c r="I577"/>
      <c r="J577"/>
      <c r="K577"/>
    </row>
    <row r="578" spans="9:11" x14ac:dyDescent="0.3">
      <c r="I578"/>
      <c r="J578"/>
      <c r="K578"/>
    </row>
    <row r="579" spans="9:11" x14ac:dyDescent="0.3">
      <c r="I579"/>
      <c r="J579"/>
      <c r="K579"/>
    </row>
    <row r="580" spans="9:11" x14ac:dyDescent="0.3">
      <c r="I580"/>
      <c r="J580"/>
      <c r="K580"/>
    </row>
    <row r="581" spans="9:11" x14ac:dyDescent="0.3">
      <c r="I581"/>
      <c r="J581"/>
      <c r="K581"/>
    </row>
    <row r="582" spans="9:11" x14ac:dyDescent="0.3">
      <c r="I582"/>
      <c r="J582"/>
      <c r="K582"/>
    </row>
    <row r="583" spans="9:11" x14ac:dyDescent="0.3">
      <c r="I583"/>
      <c r="J583"/>
      <c r="K583"/>
    </row>
    <row r="584" spans="9:11" x14ac:dyDescent="0.3">
      <c r="I584"/>
      <c r="J584"/>
      <c r="K584"/>
    </row>
    <row r="585" spans="9:11" ht="14.4" customHeight="1" x14ac:dyDescent="0.3">
      <c r="I585"/>
      <c r="J585"/>
      <c r="K585"/>
    </row>
    <row r="586" spans="9:11" ht="15" customHeight="1" x14ac:dyDescent="0.3">
      <c r="I586"/>
      <c r="J586"/>
      <c r="K586"/>
    </row>
    <row r="587" spans="9:11" x14ac:dyDescent="0.3">
      <c r="I587"/>
      <c r="J587"/>
      <c r="K587"/>
    </row>
    <row r="588" spans="9:11" x14ac:dyDescent="0.3">
      <c r="I588"/>
      <c r="J588"/>
      <c r="K588"/>
    </row>
    <row r="589" spans="9:11" x14ac:dyDescent="0.3">
      <c r="I589"/>
      <c r="J589"/>
      <c r="K589"/>
    </row>
    <row r="590" spans="9:11" x14ac:dyDescent="0.3">
      <c r="I590"/>
      <c r="J590"/>
      <c r="K590"/>
    </row>
    <row r="591" spans="9:11" x14ac:dyDescent="0.3">
      <c r="I591"/>
      <c r="J591"/>
      <c r="K591"/>
    </row>
    <row r="592" spans="9:11" x14ac:dyDescent="0.3">
      <c r="I592"/>
      <c r="J592"/>
      <c r="K592"/>
    </row>
    <row r="593" spans="9:19" x14ac:dyDescent="0.3">
      <c r="I593"/>
      <c r="J593"/>
      <c r="K593"/>
    </row>
    <row r="594" spans="9:19" x14ac:dyDescent="0.3">
      <c r="I594"/>
      <c r="J594"/>
      <c r="K594"/>
    </row>
    <row r="595" spans="9:19" x14ac:dyDescent="0.3">
      <c r="I595"/>
      <c r="J595"/>
      <c r="K595"/>
    </row>
    <row r="596" spans="9:19" x14ac:dyDescent="0.3">
      <c r="I596"/>
      <c r="J596"/>
      <c r="K596"/>
    </row>
    <row r="597" spans="9:19" x14ac:dyDescent="0.3">
      <c r="I597"/>
      <c r="J597"/>
      <c r="K597"/>
    </row>
    <row r="598" spans="9:19" x14ac:dyDescent="0.3">
      <c r="I598"/>
      <c r="J598"/>
      <c r="K598"/>
    </row>
    <row r="599" spans="9:19" x14ac:dyDescent="0.3">
      <c r="I599"/>
      <c r="J599"/>
      <c r="K599"/>
    </row>
    <row r="600" spans="9:19" x14ac:dyDescent="0.3">
      <c r="I600"/>
      <c r="J600"/>
      <c r="K600"/>
    </row>
    <row r="601" spans="9:19" x14ac:dyDescent="0.3">
      <c r="I601"/>
      <c r="J601"/>
      <c r="K601"/>
    </row>
    <row r="602" spans="9:19" x14ac:dyDescent="0.3">
      <c r="I602"/>
      <c r="J602"/>
      <c r="K602"/>
    </row>
    <row r="603" spans="9:19" x14ac:dyDescent="0.3">
      <c r="I603"/>
      <c r="J603"/>
      <c r="K603"/>
    </row>
    <row r="604" spans="9:19" x14ac:dyDescent="0.3">
      <c r="I604"/>
      <c r="J604"/>
      <c r="K604"/>
    </row>
    <row r="605" spans="9:19" x14ac:dyDescent="0.3">
      <c r="I605"/>
      <c r="J605"/>
      <c r="K605"/>
    </row>
    <row r="606" spans="9:19" x14ac:dyDescent="0.3">
      <c r="I606"/>
      <c r="J606"/>
      <c r="K606"/>
    </row>
    <row r="607" spans="9:19" ht="15.6" x14ac:dyDescent="0.3">
      <c r="L607" s="60"/>
      <c r="M607" s="60"/>
      <c r="N607" s="60"/>
      <c r="O607" s="60"/>
      <c r="P607" s="60"/>
      <c r="R607" s="19"/>
      <c r="S607" t="s">
        <v>114</v>
      </c>
    </row>
    <row r="608" spans="9:19" x14ac:dyDescent="0.3">
      <c r="S608" t="s">
        <v>115</v>
      </c>
    </row>
  </sheetData>
  <mergeCells count="59">
    <mergeCell ref="D324:F324"/>
    <mergeCell ref="A326:H327"/>
    <mergeCell ref="C348:F348"/>
    <mergeCell ref="D272:F272"/>
    <mergeCell ref="A274:H275"/>
    <mergeCell ref="A297:A299"/>
    <mergeCell ref="B297:B299"/>
    <mergeCell ref="D300:F300"/>
    <mergeCell ref="A302:H303"/>
    <mergeCell ref="A260:H261"/>
    <mergeCell ref="A185:H186"/>
    <mergeCell ref="E192:F192"/>
    <mergeCell ref="A194:H195"/>
    <mergeCell ref="E208:F208"/>
    <mergeCell ref="A210:H211"/>
    <mergeCell ref="A217:A219"/>
    <mergeCell ref="B217:B219"/>
    <mergeCell ref="C217:C219"/>
    <mergeCell ref="E223:F223"/>
    <mergeCell ref="A225:H226"/>
    <mergeCell ref="E244:F244"/>
    <mergeCell ref="A246:H247"/>
    <mergeCell ref="E258:F258"/>
    <mergeCell ref="E183:F183"/>
    <mergeCell ref="A120:H121"/>
    <mergeCell ref="E131:F131"/>
    <mergeCell ref="A133:H134"/>
    <mergeCell ref="E144:F144"/>
    <mergeCell ref="A146:H147"/>
    <mergeCell ref="A154:H155"/>
    <mergeCell ref="E160:F160"/>
    <mergeCell ref="A162:H163"/>
    <mergeCell ref="A171:H172"/>
    <mergeCell ref="E176:F176"/>
    <mergeCell ref="A178:H179"/>
    <mergeCell ref="E118:F118"/>
    <mergeCell ref="A67:H67"/>
    <mergeCell ref="E75:F75"/>
    <mergeCell ref="A77:H78"/>
    <mergeCell ref="E86:F86"/>
    <mergeCell ref="A88:H89"/>
    <mergeCell ref="A91:H91"/>
    <mergeCell ref="D96:F96"/>
    <mergeCell ref="A98:H99"/>
    <mergeCell ref="A101:H101"/>
    <mergeCell ref="E108:F108"/>
    <mergeCell ref="A110:H111"/>
    <mergeCell ref="E65:F65"/>
    <mergeCell ref="A1:H1"/>
    <mergeCell ref="E23:F23"/>
    <mergeCell ref="A25:H25"/>
    <mergeCell ref="A30:A36"/>
    <mergeCell ref="B30:B36"/>
    <mergeCell ref="C30:C36"/>
    <mergeCell ref="D41:F41"/>
    <mergeCell ref="G41:H41"/>
    <mergeCell ref="A43:H43"/>
    <mergeCell ref="E55:F55"/>
    <mergeCell ref="A57:H5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HISTORICO PARCIAL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DAYMAR SOTILLO ALAYON</dc:creator>
  <cp:lastModifiedBy>DAYMAR SOTILLO ALAYON</cp:lastModifiedBy>
  <dcterms:created xsi:type="dcterms:W3CDTF">2026-07-18T14:50:03Z</dcterms:created>
  <dcterms:modified xsi:type="dcterms:W3CDTF">2026-07-25T17:51:40Z</dcterms:modified>
</cp:coreProperties>
</file>